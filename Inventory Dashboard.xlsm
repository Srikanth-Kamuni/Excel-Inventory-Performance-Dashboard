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_1\Inventory_Performance_Dashboard\"/>
    </mc:Choice>
  </mc:AlternateContent>
  <xr:revisionPtr revIDLastSave="0" documentId="13_ncr:1_{1DE8C094-E83E-4F34-8552-9D9750F43645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Data" sheetId="1" r:id="rId1"/>
    <sheet name="Pivot" sheetId="15" r:id="rId2"/>
    <sheet name="Dashboard" sheetId="16" r:id="rId3"/>
  </sheets>
  <calcPr calcId="181029" calcMode="manual"/>
  <pivotCaches>
    <pivotCache cacheId="279" r:id="rId4"/>
  </pivotCaches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4" i="16" l="1"/>
  <c r="G4" i="16"/>
  <c r="B4" i="16"/>
  <c r="V4" i="16"/>
  <c r="L4" i="16"/>
</calcChain>
</file>

<file path=xl/sharedStrings.xml><?xml version="1.0" encoding="utf-8"?>
<sst xmlns="http://schemas.openxmlformats.org/spreadsheetml/2006/main" count="1548" uniqueCount="56">
  <si>
    <t>Month</t>
  </si>
  <si>
    <t>Product</t>
  </si>
  <si>
    <t>Category</t>
  </si>
  <si>
    <t>Stock In</t>
  </si>
  <si>
    <t>Stock Out</t>
  </si>
  <si>
    <t>Revenue</t>
  </si>
  <si>
    <t>Expenses</t>
  </si>
  <si>
    <t>Supplier</t>
  </si>
  <si>
    <t>Profit</t>
  </si>
  <si>
    <t>Jan</t>
  </si>
  <si>
    <t>Track Jacket</t>
  </si>
  <si>
    <t>Clothing</t>
  </si>
  <si>
    <t>TechCorp</t>
  </si>
  <si>
    <t>Yoga Pants</t>
  </si>
  <si>
    <t>XYZ Pvt</t>
  </si>
  <si>
    <t>USB-C Cable</t>
  </si>
  <si>
    <t>Electronics</t>
  </si>
  <si>
    <t>Running Shoes</t>
  </si>
  <si>
    <t>Footwear</t>
  </si>
  <si>
    <t>ABC Ltd</t>
  </si>
  <si>
    <t>Bluetooth Speaker</t>
  </si>
  <si>
    <t>OfficePro</t>
  </si>
  <si>
    <t>Wireless Mouse</t>
  </si>
  <si>
    <t>Laptop Stand</t>
  </si>
  <si>
    <t>Accessories</t>
  </si>
  <si>
    <t>SoundX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</si>
  <si>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</si>
  <si>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</si>
  <si>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</si>
  <si>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</si>
  <si>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</si>
  <si>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</si>
  <si>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</si>
  <si>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</si>
  <si>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</si>
  <si>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</si>
  <si>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</si>
  <si>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Revenue</t>
  </si>
  <si>
    <t>Values</t>
  </si>
  <si>
    <t>Total Profit</t>
  </si>
  <si>
    <t>Total Expenses</t>
  </si>
  <si>
    <t>UnitsSold</t>
  </si>
  <si>
    <t>Grand Total</t>
  </si>
  <si>
    <t>Monthly Performance</t>
  </si>
  <si>
    <t>Category Performance</t>
  </si>
  <si>
    <t>Product Performance</t>
  </si>
  <si>
    <t>Supplier Performance</t>
  </si>
  <si>
    <t>StockIn</t>
  </si>
  <si>
    <t>StockOut</t>
  </si>
  <si>
    <t>Stock Flow</t>
  </si>
  <si>
    <t>INVENTORY PERFORMANCE DASHBOARD</t>
  </si>
  <si>
    <t>REVENUE</t>
  </si>
  <si>
    <t>PROFIT</t>
  </si>
  <si>
    <t>UNITS SOLD</t>
  </si>
  <si>
    <t>EXPENSES</t>
  </si>
  <si>
    <t>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</si>
</sst>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0.0%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36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20"/>
      <color rgb="FF2962B5"/>
      <name val="Calibri"/>
      <family val="2"/>
      <scheme val="minor"/>
    </font>
    <font>
      <b/>
      <sz val="20"/>
      <color rgb="FF2EA064"/>
      <name val="Calibri"/>
      <family val="2"/>
      <scheme val="minor"/>
    </font>
    <font>
      <b/>
      <sz val="20"/>
      <color rgb="FFE6821E"/>
      <name val="Calibri"/>
      <family val="2"/>
      <scheme val="minor"/>
    </font>
    <font>
      <b/>
      <sz val="20"/>
      <color rgb="FFBE3C3C"/>
      <name val="Calibri"/>
      <family val="2"/>
      <scheme val="minor"/>
    </font>
    <font>
      <b/>
      <sz val="20"/>
      <color rgb="FF7850C8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4F6FB"/>
        <bgColor indexed="64"/>
      </patternFill>
    </fill>
    <fill>
      <patternFill patternType="solid">
        <fgColor rgb="FF2962B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A064"/>
        <bgColor indexed="64"/>
      </patternFill>
    </fill>
    <fill>
      <patternFill patternType="solid">
        <fgColor rgb="FFE6821E"/>
        <bgColor indexed="64"/>
      </patternFill>
    </fill>
    <fill>
      <patternFill patternType="solid">
        <fgColor rgb="FFBE3C3C"/>
        <bgColor indexed="64"/>
      </patternFill>
    </fill>
    <fill>
      <patternFill patternType="solid">
        <fgColor rgb="FF7850C8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EC8D7"/>
      </left>
      <right/>
      <top style="thin">
        <color rgb="FFBEC8D7"/>
      </top>
      <bottom/>
      <diagonal/>
    </border>
    <border>
      <left/>
      <right/>
      <top style="thin">
        <color rgb="FFBEC8D7"/>
      </top>
      <bottom/>
      <diagonal/>
    </border>
    <border>
      <left/>
      <right style="thin">
        <color rgb="FFBEC8D7"/>
      </right>
      <top style="thin">
        <color rgb="FFBEC8D7"/>
      </top>
      <bottom/>
      <diagonal/>
    </border>
    <border>
      <left style="thin">
        <color rgb="FFBEC8D7"/>
      </left>
      <right/>
      <top/>
      <bottom/>
      <diagonal/>
    </border>
    <border>
      <left/>
      <right style="thin">
        <color rgb="FFBEC8D7"/>
      </right>
      <top/>
      <bottom/>
      <diagonal/>
    </border>
    <border>
      <left style="thin">
        <color rgb="FFBEC8D7"/>
      </left>
      <right/>
      <top/>
      <bottom style="thin">
        <color rgb="FFBEC8D7"/>
      </bottom>
      <diagonal/>
    </border>
    <border>
      <left/>
      <right/>
      <top/>
      <bottom style="thin">
        <color rgb="FFBEC8D7"/>
      </bottom>
      <diagonal/>
    </border>
    <border>
      <left/>
      <right style="thin">
        <color rgb="FFBEC8D7"/>
      </right>
      <top/>
      <bottom style="thin">
        <color rgb="FFBEC8D7"/>
      </bottom>
      <diagonal/>
    </border>
    <border>
      <left style="thin">
        <color rgb="FF2962B5"/>
      </left>
      <right/>
      <top style="thin">
        <color rgb="FF2962B5"/>
      </top>
      <bottom style="thin">
        <color rgb="FF2962B5"/>
      </bottom>
      <diagonal/>
    </border>
    <border>
      <left/>
      <right/>
      <top style="thin">
        <color rgb="FF2962B5"/>
      </top>
      <bottom style="thin">
        <color rgb="FF2962B5"/>
      </bottom>
      <diagonal/>
    </border>
    <border>
      <left/>
      <right style="thin">
        <color rgb="FF2962B5"/>
      </right>
      <top style="thin">
        <color rgb="FF2962B5"/>
      </top>
      <bottom style="thin">
        <color rgb="FF2962B5"/>
      </bottom>
      <diagonal/>
    </border>
    <border>
      <left style="thin">
        <color rgb="FF2EA064"/>
      </left>
      <right/>
      <top style="thin">
        <color rgb="FF2EA064"/>
      </top>
      <bottom style="thin">
        <color rgb="FF2EA064"/>
      </bottom>
      <diagonal/>
    </border>
    <border>
      <left/>
      <right/>
      <top style="thin">
        <color rgb="FF2EA064"/>
      </top>
      <bottom style="thin">
        <color rgb="FF2EA064"/>
      </bottom>
      <diagonal/>
    </border>
    <border>
      <left/>
      <right style="thin">
        <color rgb="FF2EA064"/>
      </right>
      <top style="thin">
        <color rgb="FF2EA064"/>
      </top>
      <bottom style="thin">
        <color rgb="FF2EA064"/>
      </bottom>
      <diagonal/>
    </border>
    <border>
      <left style="thin">
        <color rgb="FFE6821E"/>
      </left>
      <right/>
      <top style="thin">
        <color rgb="FFE6821E"/>
      </top>
      <bottom style="thin">
        <color rgb="FFE6821E"/>
      </bottom>
      <diagonal/>
    </border>
    <border>
      <left/>
      <right/>
      <top style="thin">
        <color rgb="FFE6821E"/>
      </top>
      <bottom style="thin">
        <color rgb="FFE6821E"/>
      </bottom>
      <diagonal/>
    </border>
    <border>
      <left/>
      <right style="thin">
        <color rgb="FFE6821E"/>
      </right>
      <top style="thin">
        <color rgb="FFE6821E"/>
      </top>
      <bottom style="thin">
        <color rgb="FFE6821E"/>
      </bottom>
      <diagonal/>
    </border>
    <border>
      <left style="thin">
        <color rgb="FFBE3C3C"/>
      </left>
      <right/>
      <top style="thin">
        <color rgb="FFBE3C3C"/>
      </top>
      <bottom style="thin">
        <color rgb="FFBE3C3C"/>
      </bottom>
      <diagonal/>
    </border>
    <border>
      <left/>
      <right/>
      <top style="thin">
        <color rgb="FFBE3C3C"/>
      </top>
      <bottom style="thin">
        <color rgb="FFBE3C3C"/>
      </bottom>
      <diagonal/>
    </border>
    <border>
      <left/>
      <right style="thin">
        <color rgb="FFBE3C3C"/>
      </right>
      <top style="thin">
        <color rgb="FFBE3C3C"/>
      </top>
      <bottom style="thin">
        <color rgb="FFBE3C3C"/>
      </bottom>
      <diagonal/>
    </border>
    <border>
      <left style="thin">
        <color rgb="FF7850C8"/>
      </left>
      <right/>
      <top style="thin">
        <color rgb="FF7850C8"/>
      </top>
      <bottom style="thin">
        <color rgb="FF7850C8"/>
      </bottom>
      <diagonal/>
    </border>
    <border>
      <left/>
      <right/>
      <top style="thin">
        <color rgb="FF7850C8"/>
      </top>
      <bottom style="thin">
        <color rgb="FF7850C8"/>
      </bottom>
      <diagonal/>
    </border>
    <border>
      <left/>
      <right style="thin">
        <color rgb="FF7850C8"/>
      </right>
      <top style="thin">
        <color rgb="FF7850C8"/>
      </top>
      <bottom style="thin">
        <color rgb="FF7850C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0" fillId="0" borderId="0" xfId="0" pivotButton="1"/>
    <xf numFmtId="164" fontId="0" fillId="0" borderId="0" xfId="0" applyNumberFormat="1"/>
    <xf numFmtId="3" fontId="0" fillId="0" borderId="0" xfId="0" applyNumberFormat="1"/>
    <xf numFmtId="0" fontId="2" fillId="3" borderId="0" xfId="0" applyFont="1" applyFill="1" applyAlignment="1">
      <alignment horizontal="left"/>
    </xf>
    <xf numFmtId="0" fontId="0" fillId="4" borderId="0" xfId="0" applyFill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164" fontId="5" fillId="6" borderId="10" xfId="0" applyNumberFormat="1" applyFont="1" applyFill="1" applyBorder="1" applyAlignment="1">
      <alignment horizontal="center" vertical="center"/>
    </xf>
    <xf numFmtId="164" fontId="5" fillId="6" borderId="11" xfId="0" applyNumberFormat="1" applyFont="1" applyFill="1" applyBorder="1" applyAlignment="1">
      <alignment horizontal="center" vertical="center"/>
    </xf>
    <xf numFmtId="164" fontId="5" fillId="6" borderId="12" xfId="0" applyNumberFormat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164" fontId="6" fillId="6" borderId="13" xfId="0" applyNumberFormat="1" applyFont="1" applyFill="1" applyBorder="1" applyAlignment="1">
      <alignment horizontal="center" vertical="center"/>
    </xf>
    <xf numFmtId="164" fontId="6" fillId="6" borderId="14" xfId="0" applyNumberFormat="1" applyFont="1" applyFill="1" applyBorder="1" applyAlignment="1">
      <alignment horizontal="center" vertical="center"/>
    </xf>
    <xf numFmtId="164" fontId="6" fillId="6" borderId="15" xfId="0" applyNumberFormat="1" applyFont="1" applyFill="1" applyBorder="1" applyAlignment="1">
      <alignment horizontal="center" vertical="center"/>
    </xf>
    <xf numFmtId="0" fontId="4" fillId="8" borderId="16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3" fontId="7" fillId="6" borderId="16" xfId="0" applyNumberFormat="1" applyFont="1" applyFill="1" applyBorder="1" applyAlignment="1">
      <alignment horizontal="center" vertical="center"/>
    </xf>
    <xf numFmtId="3" fontId="7" fillId="6" borderId="17" xfId="0" applyNumberFormat="1" applyFont="1" applyFill="1" applyBorder="1" applyAlignment="1">
      <alignment horizontal="center" vertical="center"/>
    </xf>
    <xf numFmtId="3" fontId="7" fillId="6" borderId="18" xfId="0" applyNumberFormat="1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/>
    </xf>
    <xf numFmtId="0" fontId="4" fillId="9" borderId="21" xfId="0" applyFont="1" applyFill="1" applyBorder="1" applyAlignment="1">
      <alignment horizontal="center" vertical="center"/>
    </xf>
    <xf numFmtId="164" fontId="8" fillId="6" borderId="19" xfId="0" applyNumberFormat="1" applyFont="1" applyFill="1" applyBorder="1" applyAlignment="1">
      <alignment horizontal="center" vertical="center"/>
    </xf>
    <xf numFmtId="164" fontId="8" fillId="6" borderId="20" xfId="0" applyNumberFormat="1" applyFont="1" applyFill="1" applyBorder="1" applyAlignment="1">
      <alignment horizontal="center" vertical="center"/>
    </xf>
    <xf numFmtId="164" fontId="8" fillId="6" borderId="21" xfId="0" applyNumberFormat="1" applyFont="1" applyFill="1" applyBorder="1" applyAlignment="1">
      <alignment horizontal="center" vertical="center"/>
    </xf>
    <xf numFmtId="0" fontId="4" fillId="10" borderId="22" xfId="0" applyFont="1" applyFill="1" applyBorder="1" applyAlignment="1">
      <alignment horizontal="center" vertical="center"/>
    </xf>
    <xf numFmtId="0" fontId="4" fillId="10" borderId="23" xfId="0" applyFont="1" applyFill="1" applyBorder="1" applyAlignment="1">
      <alignment horizontal="center" vertical="center"/>
    </xf>
    <xf numFmtId="0" fontId="4" fillId="10" borderId="24" xfId="0" applyFont="1" applyFill="1" applyBorder="1" applyAlignment="1">
      <alignment horizontal="center" vertical="center"/>
    </xf>
    <xf numFmtId="165" fontId="9" fillId="6" borderId="22" xfId="0" applyNumberFormat="1" applyFont="1" applyFill="1" applyBorder="1" applyAlignment="1">
      <alignment horizontal="center" vertical="center"/>
    </xf>
    <xf numFmtId="165" fontId="9" fillId="6" borderId="23" xfId="0" applyNumberFormat="1" applyFont="1" applyFill="1" applyBorder="1" applyAlignment="1">
      <alignment horizontal="center" vertical="center"/>
    </xf>
    <xf numFmtId="165" fontId="9" fillId="6" borderId="24" xfId="0" applyNumberFormat="1" applyFont="1" applyFill="1" applyBorder="1" applyAlignment="1">
      <alignment horizontal="center" vertical="center"/>
    </xf>
    <xf numFmtId="0" fontId="1" fillId="2" borderId="1" xfId="0" quotePrefix="1" applyFont="1" applyFill="1" applyBorder="1" applyAlignment="1">
      <alignment horizontal="center" vertical="top"/>
    </xf>
  </cellXfs>
  <cellStyles count="1"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Dashboard.xlsm]Pivot!PT_Monthly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1F217D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Revenue &amp;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1F217D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ivotFmts>
      <c:pivotFmt>
        <c:idx val="0"/>
        <c:spPr>
          <a:ln w="25400" cap="rnd">
            <a:solidFill>
              <a:srgbClr val="2962B5"/>
            </a:solidFill>
            <a:round/>
          </a:ln>
          <a:effectLst/>
        </c:spPr>
        <c:marker>
          <c:symbol val="circle"/>
          <c:size val="5"/>
          <c:spPr>
            <a:solidFill>
              <a:srgbClr val="FFFFFF"/>
            </a:solidFill>
            <a:ln w="25400">
              <a:solidFill>
                <a:srgbClr val="2962B5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5400" cap="rnd">
            <a:solidFill>
              <a:srgbClr val="2EA064"/>
            </a:solidFill>
            <a:round/>
          </a:ln>
          <a:effectLst/>
        </c:spPr>
        <c:marker>
          <c:symbol val="circle"/>
          <c:size val="5"/>
          <c:spPr>
            <a:solidFill>
              <a:srgbClr val="FFFFFF"/>
            </a:solidFill>
            <a:ln w="25400">
              <a:solidFill>
                <a:srgbClr val="2EA064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rgbClr val="BE3C3C"/>
            </a:solidFill>
            <a:round/>
          </a:ln>
          <a:effectLst/>
        </c:spPr>
        <c:marker>
          <c:symbol val="circle"/>
          <c:size val="5"/>
          <c:spPr>
            <a:solidFill>
              <a:srgbClr val="FFFFFF"/>
            </a:solidFill>
            <a:ln w="25400">
              <a:solidFill>
                <a:srgbClr val="BE3C3C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Pivot!$B$2:$B$3</c:f>
              <c:strCache>
                <c:ptCount val="1"/>
                <c:pt idx="0">
                  <c:v>Total Revenue</c:v>
                </c:pt>
              </c:strCache>
            </c:strRef>
          </c:tx>
          <c:spPr>
            <a:ln w="25400" cap="rnd">
              <a:solidFill>
                <a:srgbClr val="2962B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2962B5"/>
                </a:solidFill>
                <a:prstDash val="solid"/>
              </a:ln>
              <a:effectLst/>
            </c:spPr>
          </c:marker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Pivot!$B$4:$B$16</c:f>
              <c:numCache>
                <c:formatCode>"$"#,##0</c:formatCode>
                <c:ptCount val="12"/>
                <c:pt idx="0">
                  <c:v>487185</c:v>
                </c:pt>
                <c:pt idx="1">
                  <c:v>305050</c:v>
                </c:pt>
                <c:pt idx="2">
                  <c:v>353305</c:v>
                </c:pt>
                <c:pt idx="3">
                  <c:v>339478</c:v>
                </c:pt>
                <c:pt idx="4">
                  <c:v>429450</c:v>
                </c:pt>
                <c:pt idx="5">
                  <c:v>354630</c:v>
                </c:pt>
                <c:pt idx="6">
                  <c:v>368925</c:v>
                </c:pt>
                <c:pt idx="7">
                  <c:v>419823</c:v>
                </c:pt>
                <c:pt idx="8">
                  <c:v>361926</c:v>
                </c:pt>
                <c:pt idx="9">
                  <c:v>399501</c:v>
                </c:pt>
                <c:pt idx="10">
                  <c:v>347825</c:v>
                </c:pt>
                <c:pt idx="11">
                  <c:v>369744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DB-49A0-A2B5-99817E1D7396}"/>
            </c:ext>
          </c:extLst>
        </c:ser>
        <c:ser>
          <c:idx val="1"/>
          <c:order val="1"/>
          <c:tx>
            <c:strRef>
              <c:f>Pivot!$C$2:$C$3</c:f>
              <c:strCache>
                <c:ptCount val="1"/>
                <c:pt idx="0">
                  <c:v>Total Profit</c:v>
                </c:pt>
              </c:strCache>
            </c:strRef>
          </c:tx>
          <c:spPr>
            <a:ln w="25400" cap="rnd">
              <a:solidFill>
                <a:srgbClr val="2EA06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2EA064"/>
                </a:solidFill>
                <a:prstDash val="solid"/>
              </a:ln>
              <a:effectLst/>
            </c:spPr>
          </c:marker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Pivot!$C$4:$C$16</c:f>
              <c:numCache>
                <c:formatCode>"$"#,##0</c:formatCode>
                <c:ptCount val="12"/>
                <c:pt idx="0">
                  <c:v>331343</c:v>
                </c:pt>
                <c:pt idx="1">
                  <c:v>205593</c:v>
                </c:pt>
                <c:pt idx="2">
                  <c:v>225311</c:v>
                </c:pt>
                <c:pt idx="3">
                  <c:v>223626</c:v>
                </c:pt>
                <c:pt idx="4">
                  <c:v>275747</c:v>
                </c:pt>
                <c:pt idx="5">
                  <c:v>222146</c:v>
                </c:pt>
                <c:pt idx="6">
                  <c:v>241964</c:v>
                </c:pt>
                <c:pt idx="7">
                  <c:v>264463</c:v>
                </c:pt>
                <c:pt idx="8">
                  <c:v>229290</c:v>
                </c:pt>
                <c:pt idx="9">
                  <c:v>257398</c:v>
                </c:pt>
                <c:pt idx="10">
                  <c:v>224671</c:v>
                </c:pt>
                <c:pt idx="11">
                  <c:v>247676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DB-49A0-A2B5-99817E1D7396}"/>
            </c:ext>
          </c:extLst>
        </c:ser>
        <c:ser>
          <c:idx val="2"/>
          <c:order val="2"/>
          <c:tx>
            <c:strRef>
              <c:f>Pivot!$D$2:$D$3</c:f>
              <c:strCache>
                <c:ptCount val="1"/>
                <c:pt idx="0">
                  <c:v>Total Expenses</c:v>
                </c:pt>
              </c:strCache>
            </c:strRef>
          </c:tx>
          <c:spPr>
            <a:ln w="25400" cap="rnd">
              <a:solidFill>
                <a:srgbClr val="BE3C3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BE3C3C"/>
                </a:solidFill>
                <a:prstDash val="solid"/>
              </a:ln>
              <a:effectLst/>
            </c:spPr>
          </c:marker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Pivot!$D$4:$D$16</c:f>
              <c:numCache>
                <c:formatCode>"$"#,##0</c:formatCode>
                <c:ptCount val="12"/>
                <c:pt idx="0">
                  <c:v>155842</c:v>
                </c:pt>
                <c:pt idx="1">
                  <c:v>99457</c:v>
                </c:pt>
                <c:pt idx="2">
                  <c:v>127994</c:v>
                </c:pt>
                <c:pt idx="3">
                  <c:v>115852</c:v>
                </c:pt>
                <c:pt idx="4">
                  <c:v>153703</c:v>
                </c:pt>
                <c:pt idx="5">
                  <c:v>132484</c:v>
                </c:pt>
                <c:pt idx="6">
                  <c:v>126961</c:v>
                </c:pt>
                <c:pt idx="7">
                  <c:v>155360</c:v>
                </c:pt>
                <c:pt idx="8">
                  <c:v>132636</c:v>
                </c:pt>
                <c:pt idx="9">
                  <c:v>142103</c:v>
                </c:pt>
                <c:pt idx="10">
                  <c:v>123154</c:v>
                </c:pt>
                <c:pt idx="11">
                  <c:v>122068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DB-49A0-A2B5-99817E1D7396}"/>
            </c:ext>
          </c:extLst>
        </c:ser>
        <c:ser>
          <c:idx val="3"/>
          <c:order val="3"/>
          <c:tx>
            <c:strRef>
              <c:f>Pivot!$E$2:$E$3</c:f>
              <c:strCache>
                <c:ptCount val="1"/>
                <c:pt idx="0">
                  <c:v>UnitsSold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Pivot!$E$4:$E$16</c:f>
              <c:numCache>
                <c:formatCode>#,##0</c:formatCode>
                <c:ptCount val="12"/>
                <c:pt idx="0">
                  <c:v>1476</c:v>
                </c:pt>
                <c:pt idx="1">
                  <c:v>1063</c:v>
                </c:pt>
                <c:pt idx="2">
                  <c:v>1151</c:v>
                </c:pt>
                <c:pt idx="3">
                  <c:v>1207</c:v>
                </c:pt>
                <c:pt idx="4">
                  <c:v>1214</c:v>
                </c:pt>
                <c:pt idx="5">
                  <c:v>1158</c:v>
                </c:pt>
                <c:pt idx="6">
                  <c:v>1153</c:v>
                </c:pt>
                <c:pt idx="7">
                  <c:v>1298</c:v>
                </c:pt>
                <c:pt idx="8">
                  <c:v>1226</c:v>
                </c:pt>
                <c:pt idx="9">
                  <c:v>1415</c:v>
                </c:pt>
                <c:pt idx="10">
                  <c:v>1201</c:v>
                </c:pt>
                <c:pt idx="11">
                  <c:v>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DB-49A0-A2B5-99817E1D7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5507391"/>
        <c:axId val="1545511231"/>
      </c:lineChart>
      <c:catAx>
        <c:axId val="15455073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45511231"/>
        <c:crosses val="autoZero"/>
        <c:auto val="1"/>
        <c:lblAlgn val="ctr"/>
        <c:lblOffset val="100"/>
        <c:noMultiLvlLbl val="0"/>
      </c:catAx>
      <c:valAx>
        <c:axId val="1545511231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550739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layout>
        <c:manualLayout>
          <c:xMode val="edge"/>
          <c:yMode val="edge"/>
          <c:x val="1.3250817263327089E-2"/>
          <c:y val="0.86814157558663374"/>
          <c:w val="0.95000008457156171"/>
          <c:h val="0.102007678144709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12700" cap="flat" cmpd="sng" algn="ctr">
      <a:solidFill>
        <a:srgbClr val="1F217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Dashboard.xlsm]Pivot!PT_Category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1F217D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Revenue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1F217D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962B5"/>
          </a:solidFill>
          <a:ln>
            <a:noFill/>
          </a:ln>
          <a:effectLst/>
        </c:spPr>
      </c:pivotFmt>
      <c:pivotFmt>
        <c:idx val="3"/>
        <c:spPr>
          <a:solidFill>
            <a:srgbClr val="2EA064"/>
          </a:solidFill>
          <a:ln>
            <a:noFill/>
          </a:ln>
          <a:effectLst/>
        </c:spPr>
      </c:pivotFmt>
      <c:pivotFmt>
        <c:idx val="4"/>
        <c:spPr>
          <a:solidFill>
            <a:srgbClr val="BE3C3C"/>
          </a:solidFill>
          <a:ln>
            <a:noFill/>
          </a:ln>
          <a:effectLst/>
        </c:spPr>
      </c:pivotFmt>
      <c:pivotFmt>
        <c:idx val="5"/>
        <c:spPr>
          <a:solidFill>
            <a:srgbClr val="E6821E"/>
          </a:solidFill>
          <a:ln>
            <a:noFill/>
          </a:ln>
          <a:effectLst/>
        </c:spPr>
      </c:pivotFmt>
    </c:pivotFmts>
    <c:plotArea>
      <c:layout>
        <c:manualLayout>
          <c:xMode val="edge"/>
          <c:yMode val="edge"/>
          <c:x val="0.31647306625311977"/>
          <c:y val="0.19666666666666666"/>
          <c:w val="0.40803188202895391"/>
          <c:h val="0.66151243781094526"/>
        </c:manualLayout>
      </c:layout>
      <c:pieChart>
        <c:varyColors val="1"/>
        <c:ser>
          <c:idx val="0"/>
          <c:order val="0"/>
          <c:tx>
            <c:strRef>
              <c:f>Pivot!$H$2:$H$3</c:f>
              <c:strCache>
                <c:ptCount val="1"/>
                <c:pt idx="0">
                  <c:v>Total Revenue</c:v>
                </c:pt>
              </c:strCache>
            </c:strRef>
          </c:tx>
          <c:dPt>
            <c:idx val="0"/>
            <c:bubble3D val="0"/>
            <c:spPr>
              <a:solidFill>
                <a:srgbClr val="2962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B9-41C1-BF18-8F3E481B9453}"/>
              </c:ext>
            </c:extLst>
          </c:dPt>
          <c:dPt>
            <c:idx val="1"/>
            <c:bubble3D val="0"/>
            <c:spPr>
              <a:solidFill>
                <a:srgbClr val="2EA0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B9-41C1-BF18-8F3E481B9453}"/>
              </c:ext>
            </c:extLst>
          </c:dPt>
          <c:dPt>
            <c:idx val="2"/>
            <c:bubble3D val="0"/>
            <c:spPr>
              <a:solidFill>
                <a:srgbClr val="BE3C3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B9-41C1-BF18-8F3E481B9453}"/>
              </c:ext>
            </c:extLst>
          </c:dPt>
          <c:dPt>
            <c:idx val="3"/>
            <c:bubble3D val="0"/>
            <c:spPr>
              <a:solidFill>
                <a:srgbClr val="E682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BB9-41C1-BF18-8F3E481B9453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Pivot!$G$4:$G$8</c:f>
              <c:strCache>
                <c:ptCount val="4"/>
                <c:pt idx="0">
                  <c:v>Accessories</c:v>
                </c:pt>
                <c:pt idx="1">
                  <c:v>Clothing</c:v>
                </c:pt>
                <c:pt idx="2">
                  <c:v>Electronics</c:v>
                </c:pt>
                <c:pt idx="3">
                  <c:v>Footwear</c:v>
                </c:pt>
              </c:strCache>
            </c:strRef>
          </c:cat>
          <c:val>
            <c:numRef>
              <c:f>Pivot!$H$4:$H$8</c:f>
              <c:numCache>
                <c:formatCode>"$"#,##0</c:formatCode>
                <c:ptCount val="4"/>
                <c:pt idx="0">
                  <c:v>711342</c:v>
                </c:pt>
                <c:pt idx="1">
                  <c:v>1427831</c:v>
                </c:pt>
                <c:pt idx="2">
                  <c:v>1847552</c:v>
                </c:pt>
                <c:pt idx="3">
                  <c:v>550117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B9-41C1-BF18-8F3E481B9453}"/>
            </c:ext>
          </c:extLst>
        </c:ser>
        <c:ser>
          <c:idx val="1"/>
          <c:order val="1"/>
          <c:tx>
            <c:strRef>
              <c:f>Pivot!$I$2:$I$3</c:f>
              <c:strCache>
                <c:ptCount val="1"/>
                <c:pt idx="0">
                  <c:v>Total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Pivot!$G$4:$G$8</c:f>
              <c:strCache>
                <c:ptCount val="4"/>
                <c:pt idx="0">
                  <c:v>Accessories</c:v>
                </c:pt>
                <c:pt idx="1">
                  <c:v>Clothing</c:v>
                </c:pt>
                <c:pt idx="2">
                  <c:v>Electronics</c:v>
                </c:pt>
                <c:pt idx="3">
                  <c:v>Footwear</c:v>
                </c:pt>
              </c:strCache>
            </c:strRef>
          </c:cat>
          <c:val>
            <c:numRef>
              <c:f>Pivot!$I$4:$I$8</c:f>
              <c:numCache>
                <c:formatCode>"$"#,##0</c:formatCode>
                <c:ptCount val="4"/>
                <c:pt idx="0">
                  <c:v>471858</c:v>
                </c:pt>
                <c:pt idx="1">
                  <c:v>922822</c:v>
                </c:pt>
                <c:pt idx="2">
                  <c:v>1200671</c:v>
                </c:pt>
                <c:pt idx="3">
                  <c:v>353877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B9-41C1-BF18-8F3E481B9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layout>
        <c:manualLayout>
          <c:xMode val="edge"/>
          <c:yMode val="edge"/>
          <c:x val="5.4603145530501704E-2"/>
          <c:y val="0.86814157558663374"/>
          <c:w val="0.89999992751008995"/>
          <c:h val="0.102007678144709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12700" cap="flat" cmpd="sng" algn="ctr">
      <a:solidFill>
        <a:srgbClr val="1F217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Dashboard.xlsm]Pivot!PT_Product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1F217D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1F217D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2962B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EA06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Pivot!$L$2:$L$3</c:f>
              <c:strCache>
                <c:ptCount val="1"/>
                <c:pt idx="0">
                  <c:v>Total Revenue</c:v>
                </c:pt>
              </c:strCache>
            </c:strRef>
          </c:tx>
          <c:spPr>
            <a:solidFill>
              <a:srgbClr val="2962B5"/>
            </a:solidFill>
            <a:ln>
              <a:noFill/>
            </a:ln>
            <a:effectLst/>
          </c:spPr>
          <c:invertIfNegative val="0"/>
          <c:cat>
            <c:strRef>
              <c:f>Pivot!$K$4:$K$11</c:f>
              <c:strCache>
                <c:ptCount val="7"/>
                <c:pt idx="0">
                  <c:v>Bluetooth Speaker</c:v>
                </c:pt>
                <c:pt idx="1">
                  <c:v>Laptop Stand</c:v>
                </c:pt>
                <c:pt idx="2">
                  <c:v>Running Shoes</c:v>
                </c:pt>
                <c:pt idx="3">
                  <c:v>Track Jacket</c:v>
                </c:pt>
                <c:pt idx="4">
                  <c:v>USB-C Cable</c:v>
                </c:pt>
                <c:pt idx="5">
                  <c:v>Wireless Mouse</c:v>
                </c:pt>
                <c:pt idx="6">
                  <c:v>Yoga Pants</c:v>
                </c:pt>
              </c:strCache>
            </c:strRef>
          </c:cat>
          <c:val>
            <c:numRef>
              <c:f>Pivot!$L$4:$L$11</c:f>
              <c:numCache>
                <c:formatCode>"$"#,##0</c:formatCode>
                <c:ptCount val="7"/>
                <c:pt idx="0">
                  <c:v>616444</c:v>
                </c:pt>
                <c:pt idx="1">
                  <c:v>711342</c:v>
                </c:pt>
                <c:pt idx="2">
                  <c:v>550117</c:v>
                </c:pt>
                <c:pt idx="3">
                  <c:v>773480</c:v>
                </c:pt>
                <c:pt idx="4">
                  <c:v>533914</c:v>
                </c:pt>
                <c:pt idx="5">
                  <c:v>697194</c:v>
                </c:pt>
                <c:pt idx="6">
                  <c:v>654351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AD-48B7-8D8A-F19EE8F47969}"/>
            </c:ext>
          </c:extLst>
        </c:ser>
        <c:ser>
          <c:idx val="1"/>
          <c:order val="1"/>
          <c:tx>
            <c:strRef>
              <c:f>Pivot!$M$2:$M$3</c:f>
              <c:strCache>
                <c:ptCount val="1"/>
                <c:pt idx="0">
                  <c:v>Total Profit</c:v>
                </c:pt>
              </c:strCache>
            </c:strRef>
          </c:tx>
          <c:spPr>
            <a:solidFill>
              <a:srgbClr val="2EA064"/>
            </a:solidFill>
            <a:ln>
              <a:noFill/>
            </a:ln>
            <a:effectLst/>
          </c:spPr>
          <c:invertIfNegative val="0"/>
          <c:cat>
            <c:strRef>
              <c:f>Pivot!$K$4:$K$11</c:f>
              <c:strCache>
                <c:ptCount val="7"/>
                <c:pt idx="0">
                  <c:v>Bluetooth Speaker</c:v>
                </c:pt>
                <c:pt idx="1">
                  <c:v>Laptop Stand</c:v>
                </c:pt>
                <c:pt idx="2">
                  <c:v>Running Shoes</c:v>
                </c:pt>
                <c:pt idx="3">
                  <c:v>Track Jacket</c:v>
                </c:pt>
                <c:pt idx="4">
                  <c:v>USB-C Cable</c:v>
                </c:pt>
                <c:pt idx="5">
                  <c:v>Wireless Mouse</c:v>
                </c:pt>
                <c:pt idx="6">
                  <c:v>Yoga Pants</c:v>
                </c:pt>
              </c:strCache>
            </c:strRef>
          </c:cat>
          <c:val>
            <c:numRef>
              <c:f>Pivot!$M$4:$M$11</c:f>
              <c:numCache>
                <c:formatCode>"$"#,##0</c:formatCode>
                <c:ptCount val="7"/>
                <c:pt idx="0">
                  <c:v>397373</c:v>
                </c:pt>
                <c:pt idx="1">
                  <c:v>471858</c:v>
                </c:pt>
                <c:pt idx="2">
                  <c:v>353877</c:v>
                </c:pt>
                <c:pt idx="3">
                  <c:v>495173</c:v>
                </c:pt>
                <c:pt idx="4">
                  <c:v>347410</c:v>
                </c:pt>
                <c:pt idx="5">
                  <c:v>455888</c:v>
                </c:pt>
                <c:pt idx="6">
                  <c:v>427649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AD-48B7-8D8A-F19EE8F47969}"/>
            </c:ext>
          </c:extLst>
        </c:ser>
        <c:ser>
          <c:idx val="2"/>
          <c:order val="2"/>
          <c:tx>
            <c:strRef>
              <c:f>Pivot!$N$2:$N$3</c:f>
              <c:strCache>
                <c:ptCount val="1"/>
                <c:pt idx="0">
                  <c:v>UnitsSold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Pivot!$K$4:$K$11</c:f>
              <c:strCache>
                <c:ptCount val="7"/>
                <c:pt idx="0">
                  <c:v>Bluetooth Speaker</c:v>
                </c:pt>
                <c:pt idx="1">
                  <c:v>Laptop Stand</c:v>
                </c:pt>
                <c:pt idx="2">
                  <c:v>Running Shoes</c:v>
                </c:pt>
                <c:pt idx="3">
                  <c:v>Track Jacket</c:v>
                </c:pt>
                <c:pt idx="4">
                  <c:v>USB-C Cable</c:v>
                </c:pt>
                <c:pt idx="5">
                  <c:v>Wireless Mouse</c:v>
                </c:pt>
                <c:pt idx="6">
                  <c:v>Yoga Pants</c:v>
                </c:pt>
              </c:strCache>
            </c:strRef>
          </c:cat>
          <c:val>
            <c:numRef>
              <c:f>Pivot!$N$4:$N$11</c:f>
              <c:numCache>
                <c:formatCode>#,##0</c:formatCode>
                <c:ptCount val="7"/>
                <c:pt idx="0">
                  <c:v>2175</c:v>
                </c:pt>
                <c:pt idx="1">
                  <c:v>2283</c:v>
                </c:pt>
                <c:pt idx="2">
                  <c:v>1913</c:v>
                </c:pt>
                <c:pt idx="3">
                  <c:v>2381</c:v>
                </c:pt>
                <c:pt idx="4">
                  <c:v>1959</c:v>
                </c:pt>
                <c:pt idx="5">
                  <c:v>2172</c:v>
                </c:pt>
                <c:pt idx="6">
                  <c:v>2157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AD-48B7-8D8A-F19EE8F47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45512671"/>
        <c:axId val="1545513151"/>
      </c:barChart>
      <c:catAx>
        <c:axId val="1545512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5513151"/>
        <c:crosses val="autoZero"/>
        <c:auto val="1"/>
        <c:lblAlgn val="ctr"/>
        <c:lblOffset val="100"/>
        <c:noMultiLvlLbl val="0"/>
      </c:catAx>
      <c:valAx>
        <c:axId val="1545513151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154551267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12700" cap="flat" cmpd="sng" algn="ctr">
      <a:solidFill>
        <a:srgbClr val="1F217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Dashboard.xlsm]Pivot!PT_Supplier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1F217D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Revenue by Supplier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1F217D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2962B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EA06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Pivot!$Q$2:$Q$3</c:f>
              <c:strCache>
                <c:ptCount val="1"/>
                <c:pt idx="0">
                  <c:v>Total Revenue</c:v>
                </c:pt>
              </c:strCache>
            </c:strRef>
          </c:tx>
          <c:spPr>
            <a:solidFill>
              <a:srgbClr val="2962B5"/>
            </a:solidFill>
            <a:ln>
              <a:noFill/>
            </a:ln>
            <a:effectLst/>
          </c:spPr>
          <c:cat>
            <c:strRef>
              <c:f>Pivot!$P$4:$P$9</c:f>
              <c:strCache>
                <c:ptCount val="5"/>
                <c:pt idx="0">
                  <c:v>ABC Ltd</c:v>
                </c:pt>
                <c:pt idx="1">
                  <c:v>OfficePro</c:v>
                </c:pt>
                <c:pt idx="2">
                  <c:v>SoundX</c:v>
                </c:pt>
                <c:pt idx="3">
                  <c:v>TechCorp</c:v>
                </c:pt>
                <c:pt idx="4">
                  <c:v>XYZ Pvt</c:v>
                </c:pt>
              </c:strCache>
            </c:strRef>
          </c:cat>
          <c:val>
            <c:numRef>
              <c:f>Pivot!$Q$4:$Q$9</c:f>
              <c:numCache>
                <c:formatCode>"$"#,##0</c:formatCode>
                <c:ptCount val="5"/>
                <c:pt idx="0">
                  <c:v>810578</c:v>
                </c:pt>
                <c:pt idx="1">
                  <c:v>946155</c:v>
                </c:pt>
                <c:pt idx="2">
                  <c:v>827381</c:v>
                </c:pt>
                <c:pt idx="3">
                  <c:v>1061711</c:v>
                </c:pt>
                <c:pt idx="4">
                  <c:v>891017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91-4FA1-909A-EB576B3AD192}"/>
            </c:ext>
          </c:extLst>
        </c:ser>
        <c:ser>
          <c:idx val="1"/>
          <c:order val="1"/>
          <c:tx>
            <c:strRef>
              <c:f>Pivot!$R$2:$R$3</c:f>
              <c:strCache>
                <c:ptCount val="1"/>
                <c:pt idx="0">
                  <c:v>Total Profit</c:v>
                </c:pt>
              </c:strCache>
            </c:strRef>
          </c:tx>
          <c:spPr>
            <a:solidFill>
              <a:srgbClr val="2EA064"/>
            </a:solidFill>
            <a:ln>
              <a:noFill/>
            </a:ln>
            <a:effectLst/>
          </c:spPr>
          <c:cat>
            <c:strRef>
              <c:f>Pivot!$P$4:$P$9</c:f>
              <c:strCache>
                <c:ptCount val="5"/>
                <c:pt idx="0">
                  <c:v>ABC Ltd</c:v>
                </c:pt>
                <c:pt idx="1">
                  <c:v>OfficePro</c:v>
                </c:pt>
                <c:pt idx="2">
                  <c:v>SoundX</c:v>
                </c:pt>
                <c:pt idx="3">
                  <c:v>TechCorp</c:v>
                </c:pt>
                <c:pt idx="4">
                  <c:v>XYZ Pvt</c:v>
                </c:pt>
              </c:strCache>
            </c:strRef>
          </c:cat>
          <c:val>
            <c:numRef>
              <c:f>Pivot!$R$4:$R$9</c:f>
              <c:numCache>
                <c:formatCode>"$"#,##0</c:formatCode>
                <c:ptCount val="5"/>
                <c:pt idx="0">
                  <c:v>524930</c:v>
                </c:pt>
                <c:pt idx="1">
                  <c:v>630381</c:v>
                </c:pt>
                <c:pt idx="2">
                  <c:v>533669</c:v>
                </c:pt>
                <c:pt idx="3">
                  <c:v>694714</c:v>
                </c:pt>
                <c:pt idx="4">
                  <c:v>565534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1-4FA1-909A-EB576B3AD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919167"/>
        <c:axId val="1545906687"/>
      </c:areaChart>
      <c:catAx>
        <c:axId val="154591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5906687"/>
        <c:crosses val="autoZero"/>
        <c:auto val="1"/>
        <c:lblAlgn val="ctr"/>
        <c:lblOffset val="100"/>
        <c:noMultiLvlLbl val="0"/>
      </c:catAx>
      <c:valAx>
        <c:axId val="154590668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591916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12700" cap="flat" cmpd="sng" algn="ctr">
      <a:solidFill>
        <a:srgbClr val="1F217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Dashboard.xlsm]Pivot!PT_StockFlow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1F217D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Stock In vs Stock Out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1F217D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2962B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5400" cap="rnd">
            <a:solidFill>
              <a:srgbClr val="2EA064"/>
            </a:solidFill>
            <a:round/>
          </a:ln>
          <a:effectLst/>
        </c:spPr>
        <c:marker>
          <c:symbol val="circle"/>
          <c:size val="5"/>
          <c:spPr>
            <a:solidFill>
              <a:srgbClr val="FFFFFF"/>
            </a:solidFill>
            <a:ln w="25400">
              <a:solidFill>
                <a:srgbClr val="2EA064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Pivot!$U$2:$U$3</c:f>
              <c:strCache>
                <c:ptCount val="1"/>
                <c:pt idx="0">
                  <c:v>StockIn</c:v>
                </c:pt>
              </c:strCache>
            </c:strRef>
          </c:tx>
          <c:spPr>
            <a:solidFill>
              <a:srgbClr val="2962B5"/>
            </a:solidFill>
            <a:ln>
              <a:noFill/>
            </a:ln>
            <a:effectLst/>
          </c:spPr>
          <c:invertIfNegative val="0"/>
          <c:cat>
            <c:strRef>
              <c:f>Pivot!$T$4:$T$16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Pivot!$U$4:$U$16</c:f>
              <c:numCache>
                <c:formatCode>#,##0</c:formatCode>
                <c:ptCount val="12"/>
                <c:pt idx="0">
                  <c:v>2355</c:v>
                </c:pt>
                <c:pt idx="1">
                  <c:v>1972</c:v>
                </c:pt>
                <c:pt idx="2">
                  <c:v>2045</c:v>
                </c:pt>
                <c:pt idx="3">
                  <c:v>1923</c:v>
                </c:pt>
                <c:pt idx="4">
                  <c:v>2236</c:v>
                </c:pt>
                <c:pt idx="5">
                  <c:v>1914</c:v>
                </c:pt>
                <c:pt idx="6">
                  <c:v>2147</c:v>
                </c:pt>
                <c:pt idx="7">
                  <c:v>2158</c:v>
                </c:pt>
                <c:pt idx="8">
                  <c:v>2156</c:v>
                </c:pt>
                <c:pt idx="9">
                  <c:v>2558</c:v>
                </c:pt>
                <c:pt idx="10">
                  <c:v>2009</c:v>
                </c:pt>
                <c:pt idx="11">
                  <c:v>2361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5-4225-87B0-7111C289B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axId val="1545912927"/>
        <c:axId val="1545917727"/>
      </c:barChart>
      <c:lineChart>
        <c:grouping val="standard"/>
        <c:varyColors val="0"/>
        <c:ser>
          <c:idx val="1"/>
          <c:order val="1"/>
          <c:tx>
            <c:strRef>
              <c:f>Pivot!$V$2:$V$3</c:f>
              <c:strCache>
                <c:ptCount val="1"/>
                <c:pt idx="0">
                  <c:v>StockOut</c:v>
                </c:pt>
              </c:strCache>
            </c:strRef>
          </c:tx>
          <c:spPr>
            <a:ln w="25400" cap="rnd">
              <a:solidFill>
                <a:srgbClr val="2EA06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2EA064"/>
                </a:solidFill>
                <a:prstDash val="solid"/>
              </a:ln>
              <a:effectLst/>
            </c:spPr>
          </c:marker>
          <c:cat>
            <c:strRef>
              <c:f>Pivot!$T$4:$T$16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Pivot!$V$4:$V$16</c:f>
              <c:numCache>
                <c:formatCode>#,##0</c:formatCode>
                <c:ptCount val="12"/>
                <c:pt idx="0">
                  <c:v>1476</c:v>
                </c:pt>
                <c:pt idx="1">
                  <c:v>1063</c:v>
                </c:pt>
                <c:pt idx="2">
                  <c:v>1151</c:v>
                </c:pt>
                <c:pt idx="3">
                  <c:v>1207</c:v>
                </c:pt>
                <c:pt idx="4">
                  <c:v>1214</c:v>
                </c:pt>
                <c:pt idx="5">
                  <c:v>1158</c:v>
                </c:pt>
                <c:pt idx="6">
                  <c:v>1153</c:v>
                </c:pt>
                <c:pt idx="7">
                  <c:v>1298</c:v>
                </c:pt>
                <c:pt idx="8">
                  <c:v>1226</c:v>
                </c:pt>
                <c:pt idx="9">
                  <c:v>1415</c:v>
                </c:pt>
                <c:pt idx="10">
                  <c:v>1201</c:v>
                </c:pt>
                <c:pt idx="11">
                  <c:v>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35-4225-87B0-7111C289B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5912927"/>
        <c:axId val="1545917727"/>
      </c:lineChart>
      <c:catAx>
        <c:axId val="154591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5917727"/>
        <c:crosses val="autoZero"/>
        <c:auto val="1"/>
        <c:lblAlgn val="ctr"/>
        <c:lblOffset val="100"/>
        <c:noMultiLvlLbl val="0"/>
      </c:catAx>
      <c:valAx>
        <c:axId val="154591772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591292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12700" cap="flat" cmpd="sng" algn="ctr">
      <a:solidFill>
        <a:srgbClr val="1F217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Dashboard.xlsm]Pivot!PT_Monthly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1F217D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Revenue vs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1F217D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2962B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EA06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E3C3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xMode val="edge"/>
          <c:yMode val="edge"/>
          <c:x val="3.3756134760675773E-2"/>
          <c:y val="0.17340796019900501"/>
          <c:w val="0.92328151190755492"/>
          <c:h val="0.5416965174129353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Pivot!$B$2:$B$3</c:f>
              <c:strCache>
                <c:ptCount val="1"/>
                <c:pt idx="0">
                  <c:v>Total Revenue</c:v>
                </c:pt>
              </c:strCache>
            </c:strRef>
          </c:tx>
          <c:spPr>
            <a:solidFill>
              <a:srgbClr val="2962B5"/>
            </a:solidFill>
            <a:ln>
              <a:noFill/>
            </a:ln>
            <a:effectLst/>
          </c:spPr>
          <c:invertIfNegative val="0"/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Pivot!$B$4:$B$16</c:f>
              <c:numCache>
                <c:formatCode>"$"#,##0</c:formatCode>
                <c:ptCount val="12"/>
                <c:pt idx="0">
                  <c:v>487185</c:v>
                </c:pt>
                <c:pt idx="1">
                  <c:v>305050</c:v>
                </c:pt>
                <c:pt idx="2">
                  <c:v>353305</c:v>
                </c:pt>
                <c:pt idx="3">
                  <c:v>339478</c:v>
                </c:pt>
                <c:pt idx="4">
                  <c:v>429450</c:v>
                </c:pt>
                <c:pt idx="5">
                  <c:v>354630</c:v>
                </c:pt>
                <c:pt idx="6">
                  <c:v>368925</c:v>
                </c:pt>
                <c:pt idx="7">
                  <c:v>419823</c:v>
                </c:pt>
                <c:pt idx="8">
                  <c:v>361926</c:v>
                </c:pt>
                <c:pt idx="9">
                  <c:v>399501</c:v>
                </c:pt>
                <c:pt idx="10">
                  <c:v>347825</c:v>
                </c:pt>
                <c:pt idx="11">
                  <c:v>369744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F-417F-B94C-E57FEB786FC4}"/>
            </c:ext>
          </c:extLst>
        </c:ser>
        <c:ser>
          <c:idx val="1"/>
          <c:order val="1"/>
          <c:tx>
            <c:strRef>
              <c:f>Pivot!$C$2:$C$3</c:f>
              <c:strCache>
                <c:ptCount val="1"/>
                <c:pt idx="0">
                  <c:v>Total Profit</c:v>
                </c:pt>
              </c:strCache>
            </c:strRef>
          </c:tx>
          <c:spPr>
            <a:solidFill>
              <a:srgbClr val="2EA064"/>
            </a:solidFill>
            <a:ln>
              <a:noFill/>
            </a:ln>
            <a:effectLst/>
          </c:spPr>
          <c:invertIfNegative val="0"/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Pivot!$C$4:$C$16</c:f>
              <c:numCache>
                <c:formatCode>"$"#,##0</c:formatCode>
                <c:ptCount val="12"/>
                <c:pt idx="0">
                  <c:v>331343</c:v>
                </c:pt>
                <c:pt idx="1">
                  <c:v>205593</c:v>
                </c:pt>
                <c:pt idx="2">
                  <c:v>225311</c:v>
                </c:pt>
                <c:pt idx="3">
                  <c:v>223626</c:v>
                </c:pt>
                <c:pt idx="4">
                  <c:v>275747</c:v>
                </c:pt>
                <c:pt idx="5">
                  <c:v>222146</c:v>
                </c:pt>
                <c:pt idx="6">
                  <c:v>241964</c:v>
                </c:pt>
                <c:pt idx="7">
                  <c:v>264463</c:v>
                </c:pt>
                <c:pt idx="8">
                  <c:v>229290</c:v>
                </c:pt>
                <c:pt idx="9">
                  <c:v>257398</c:v>
                </c:pt>
                <c:pt idx="10">
                  <c:v>224671</c:v>
                </c:pt>
                <c:pt idx="11">
                  <c:v>247676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CF-417F-B94C-E57FEB786FC4}"/>
            </c:ext>
          </c:extLst>
        </c:ser>
        <c:ser>
          <c:idx val="2"/>
          <c:order val="2"/>
          <c:tx>
            <c:strRef>
              <c:f>Pivot!$D$2:$D$3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rgbClr val="BE3C3C"/>
            </a:solidFill>
            <a:ln>
              <a:noFill/>
            </a:ln>
            <a:effectLst/>
          </c:spPr>
          <c:invertIfNegative val="0"/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Pivot!$D$4:$D$16</c:f>
              <c:numCache>
                <c:formatCode>"$"#,##0</c:formatCode>
                <c:ptCount val="12"/>
                <c:pt idx="0">
                  <c:v>155842</c:v>
                </c:pt>
                <c:pt idx="1">
                  <c:v>99457</c:v>
                </c:pt>
                <c:pt idx="2">
                  <c:v>127994</c:v>
                </c:pt>
                <c:pt idx="3">
                  <c:v>115852</c:v>
                </c:pt>
                <c:pt idx="4">
                  <c:v>153703</c:v>
                </c:pt>
                <c:pt idx="5">
                  <c:v>132484</c:v>
                </c:pt>
                <c:pt idx="6">
                  <c:v>126961</c:v>
                </c:pt>
                <c:pt idx="7">
                  <c:v>155360</c:v>
                </c:pt>
                <c:pt idx="8">
                  <c:v>132636</c:v>
                </c:pt>
                <c:pt idx="9">
                  <c:v>142103</c:v>
                </c:pt>
                <c:pt idx="10">
                  <c:v>123154</c:v>
                </c:pt>
                <c:pt idx="11">
                  <c:v>122068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F-417F-B94C-E57FEB786FC4}"/>
            </c:ext>
          </c:extLst>
        </c:ser>
        <c:ser>
          <c:idx val="3"/>
          <c:order val="3"/>
          <c:tx>
            <c:strRef>
              <c:f>Pivot!$E$2:$E$3</c:f>
              <c:strCache>
                <c:ptCount val="1"/>
                <c:pt idx="0">
                  <c:v>UnitsSold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Pivot!$E$4:$E$16</c:f>
              <c:numCache>
                <c:formatCode>#,##0</c:formatCode>
                <c:ptCount val="12"/>
                <c:pt idx="0">
                  <c:v>1476</c:v>
                </c:pt>
                <c:pt idx="1">
                  <c:v>1063</c:v>
                </c:pt>
                <c:pt idx="2">
                  <c:v>1151</c:v>
                </c:pt>
                <c:pt idx="3">
                  <c:v>1207</c:v>
                </c:pt>
                <c:pt idx="4">
                  <c:v>1214</c:v>
                </c:pt>
                <c:pt idx="5">
                  <c:v>1158</c:v>
                </c:pt>
                <c:pt idx="6">
                  <c:v>1153</c:v>
                </c:pt>
                <c:pt idx="7">
                  <c:v>1298</c:v>
                </c:pt>
                <c:pt idx="8">
                  <c:v>1226</c:v>
                </c:pt>
                <c:pt idx="9">
                  <c:v>1415</c:v>
                </c:pt>
                <c:pt idx="10">
                  <c:v>1201</c:v>
                </c:pt>
                <c:pt idx="11">
                  <c:v>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F-417F-B94C-E57FEB786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545909567"/>
        <c:axId val="1545915327"/>
      </c:barChart>
      <c:catAx>
        <c:axId val="154590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5915327"/>
        <c:crosses val="autoZero"/>
        <c:auto val="1"/>
        <c:lblAlgn val="ctr"/>
        <c:lblOffset val="100"/>
        <c:noMultiLvlLbl val="0"/>
      </c:catAx>
      <c:valAx>
        <c:axId val="1545915327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1545909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b"/>
      <c:layout>
        <c:manualLayout>
          <c:xMode val="edge"/>
          <c:yMode val="edge"/>
          <c:x val="1.227495809479119E-2"/>
          <c:y val="0.86814157558663374"/>
          <c:w val="0.98465630238151103"/>
          <c:h val="9.9502487562189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12700" cap="flat" cmpd="sng" algn="ctr">
      <a:solidFill>
        <a:srgbClr val="1F217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2</xdr:row>
      <xdr:rowOff>30480</xdr:rowOff>
    </xdr:from>
    <xdr:to>
      <xdr:col>11</xdr:col>
      <xdr:colOff>457200</xdr:colOff>
      <xdr:row>6</xdr:row>
      <xdr:rowOff>160020</xdr:rowOff>
    </xdr:to>
    <xdr:sp macro="[0]!CreateInventoryDashbo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850233-9F57-94AE-F2F5-0610BFCD077E}"/>
            </a:ext>
          </a:extLst>
        </xdr:cNvPr>
        <xdr:cNvSpPr/>
      </xdr:nvSpPr>
      <xdr:spPr>
        <a:xfrm>
          <a:off x="10248900" y="396240"/>
          <a:ext cx="2209800" cy="86106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Data</a:t>
          </a:r>
          <a:r>
            <a:rPr lang="en-US" sz="1600" b="1" baseline="0"/>
            <a:t> to Dashboard on One Click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5</xdr:row>
      <xdr:rowOff>25400</xdr:rowOff>
    </xdr:from>
    <xdr:to>
      <xdr:col>10</xdr:col>
      <xdr:colOff>323427</xdr:colOff>
      <xdr:row>19</xdr:row>
      <xdr:rowOff>124460</xdr:rowOff>
    </xdr:to>
    <xdr:graphicFrame macro="">
      <xdr:nvGraphicFramePr>
        <xdr:cNvPr id="2" name="Chart_LINE_Revenue &amp; Profit">
          <a:extLst>
            <a:ext uri="{FF2B5EF4-FFF2-40B4-BE49-F238E27FC236}">
              <a16:creationId xmlns:a16="http://schemas.microsoft.com/office/drawing/2014/main" id="{31FE1846-5205-954F-2B32-F059BD0164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399627</xdr:colOff>
      <xdr:row>5</xdr:row>
      <xdr:rowOff>25400</xdr:rowOff>
    </xdr:from>
    <xdr:to>
      <xdr:col>18</xdr:col>
      <xdr:colOff>149014</xdr:colOff>
      <xdr:row>19</xdr:row>
      <xdr:rowOff>124460</xdr:rowOff>
    </xdr:to>
    <xdr:graphicFrame macro="">
      <xdr:nvGraphicFramePr>
        <xdr:cNvPr id="3" name="Chart_PIE_Revenue by Category">
          <a:extLst>
            <a:ext uri="{FF2B5EF4-FFF2-40B4-BE49-F238E27FC236}">
              <a16:creationId xmlns:a16="http://schemas.microsoft.com/office/drawing/2014/main" id="{3789CBC5-C0A4-650B-CDB2-0C23D7B2FC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225213</xdr:colOff>
      <xdr:row>5</xdr:row>
      <xdr:rowOff>25400</xdr:rowOff>
    </xdr:from>
    <xdr:to>
      <xdr:col>25</xdr:col>
      <xdr:colOff>523240</xdr:colOff>
      <xdr:row>19</xdr:row>
      <xdr:rowOff>124460</xdr:rowOff>
    </xdr:to>
    <xdr:graphicFrame macro="">
      <xdr:nvGraphicFramePr>
        <xdr:cNvPr id="4" name="Chart_BAR_PRODUCT_Revenue by Product">
          <a:extLst>
            <a:ext uri="{FF2B5EF4-FFF2-40B4-BE49-F238E27FC236}">
              <a16:creationId xmlns:a16="http://schemas.microsoft.com/office/drawing/2014/main" id="{F2661F60-C154-5979-BA3A-721541A21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25400</xdr:colOff>
      <xdr:row>20</xdr:row>
      <xdr:rowOff>50800</xdr:rowOff>
    </xdr:from>
    <xdr:to>
      <xdr:col>10</xdr:col>
      <xdr:colOff>323427</xdr:colOff>
      <xdr:row>34</xdr:row>
      <xdr:rowOff>149860</xdr:rowOff>
    </xdr:to>
    <xdr:graphicFrame macro="">
      <xdr:nvGraphicFramePr>
        <xdr:cNvPr id="5" name="Chart_AREA_Revenue by Supplier">
          <a:extLst>
            <a:ext uri="{FF2B5EF4-FFF2-40B4-BE49-F238E27FC236}">
              <a16:creationId xmlns:a16="http://schemas.microsoft.com/office/drawing/2014/main" id="{371AF09D-3F01-93D6-9E53-435AABF20C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399627</xdr:colOff>
      <xdr:row>20</xdr:row>
      <xdr:rowOff>50800</xdr:rowOff>
    </xdr:from>
    <xdr:to>
      <xdr:col>18</xdr:col>
      <xdr:colOff>149014</xdr:colOff>
      <xdr:row>34</xdr:row>
      <xdr:rowOff>149860</xdr:rowOff>
    </xdr:to>
    <xdr:graphicFrame macro="">
      <xdr:nvGraphicFramePr>
        <xdr:cNvPr id="6" name="Chart_COMBO_Stock In vs Stock Out">
          <a:extLst>
            <a:ext uri="{FF2B5EF4-FFF2-40B4-BE49-F238E27FC236}">
              <a16:creationId xmlns:a16="http://schemas.microsoft.com/office/drawing/2014/main" id="{64F4FDA7-CBEB-433E-CF86-EF436561C3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225213</xdr:colOff>
      <xdr:row>20</xdr:row>
      <xdr:rowOff>50800</xdr:rowOff>
    </xdr:from>
    <xdr:to>
      <xdr:col>25</xdr:col>
      <xdr:colOff>523240</xdr:colOff>
      <xdr:row>34</xdr:row>
      <xdr:rowOff>149860</xdr:rowOff>
    </xdr:to>
    <xdr:graphicFrame macro="">
      <xdr:nvGraphicFramePr>
        <xdr:cNvPr id="7" name="Chart_STACKED_Revenue vs Expenses">
          <a:extLst>
            <a:ext uri="{FF2B5EF4-FFF2-40B4-BE49-F238E27FC236}">
              <a16:creationId xmlns:a16="http://schemas.microsoft.com/office/drawing/2014/main" id="{2030FAB6-5DBF-97A1-F2E6-87A4369AE2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6309.386784027774" createdVersion="3" refreshedVersion="8" minRefreshableVersion="3" recordCount="365" xr:uid="{65E93FA3-DDAC-4A54-AAA3-C01AEB03D158}">
  <cacheSource type="worksheet">
    <worksheetSource ref="A1:I366" sheet="Data"/>
  </cacheSource>
  <cacheFields count="9"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Category" numFmtId="0">
      <sharedItems count="4">
        <s v="Clothing"/>
        <s v="Electronics"/>
        <s v="Footwear"/>
        <s v="Accessories"/>
      </sharedItems>
    </cacheField>
    <cacheField name="Product" numFmtId="0">
      <sharedItems count="7">
        <s v="Track Jacket"/>
        <s v="Yoga Pants"/>
        <s v="USB-C Cable"/>
        <s v="Running Shoes"/>
        <s v="Bluetooth Speaker"/>
        <s v="Wireless Mouse"/>
        <s v="Laptop Stand"/>
      </sharedItems>
    </cacheField>
    <cacheField name="Supplier" numFmtId="0">
      <sharedItems count="5">
        <s v="TechCorp"/>
        <s v="XYZ Pvt"/>
        <s v="ABC Ltd"/>
        <s v="OfficePro"/>
        <s v="SoundX"/>
      </sharedItems>
    </cacheField>
    <cacheField name="Revenue" numFmtId="0">
      <sharedItems containsSemiMixedTypes="0" containsString="0" containsNumber="1" containsInteger="1" minValue="1133" maxValue="47100"/>
    </cacheField>
    <cacheField name="Profit" numFmtId="0">
      <sharedItems containsSemiMixedTypes="0" containsString="0" containsNumber="1" containsInteger="1" minValue="704" maxValue="33654"/>
    </cacheField>
    <cacheField name="Expenses" numFmtId="0">
      <sharedItems containsSemiMixedTypes="0" containsString="0" containsNumber="1" containsInteger="1" minValue="262" maxValue="18737"/>
    </cacheField>
    <cacheField name="Stock In" numFmtId="0">
      <sharedItems containsSemiMixedTypes="0" containsString="0" containsNumber="1" containsInteger="1" minValue="20" maxValue="120"/>
    </cacheField>
    <cacheField name="Stock Out" numFmtId="0">
      <sharedItems containsSemiMixedTypes="0" containsString="0" containsNumber="1" containsInteger="1" minValue="10" maxValue="117"/>
    </cacheField>
  </cacheFields>
  <extLst>
    <ext xmlns:x14="http://schemas.microsoft.com/office/spreadsheetml/2009/9/main" uri="{725AE2AE-9491-48be-B2B4-4EB974FC3084}">
      <x14:pivotCacheDefinition pivotCacheId="195046897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x v="0"/>
    <x v="0"/>
    <x v="0"/>
    <n v="5904"/>
    <n v="4422"/>
    <n v="1482"/>
    <n v="61"/>
    <n v="12"/>
  </r>
  <r>
    <x v="0"/>
    <x v="0"/>
    <x v="1"/>
    <x v="1"/>
    <n v="15930"/>
    <n v="11251"/>
    <n v="4679"/>
    <n v="54"/>
    <n v="45"/>
  </r>
  <r>
    <x v="0"/>
    <x v="0"/>
    <x v="0"/>
    <x v="0"/>
    <n v="34344"/>
    <n v="19918"/>
    <n v="14426"/>
    <n v="118"/>
    <n v="106"/>
  </r>
  <r>
    <x v="0"/>
    <x v="1"/>
    <x v="2"/>
    <x v="1"/>
    <n v="36400"/>
    <n v="21581"/>
    <n v="14819"/>
    <n v="104"/>
    <n v="100"/>
  </r>
  <r>
    <x v="0"/>
    <x v="2"/>
    <x v="3"/>
    <x v="1"/>
    <n v="8732"/>
    <n v="6096"/>
    <n v="2636"/>
    <n v="72"/>
    <n v="59"/>
  </r>
  <r>
    <x v="0"/>
    <x v="1"/>
    <x v="2"/>
    <x v="1"/>
    <n v="5652"/>
    <n v="3930"/>
    <n v="1722"/>
    <n v="55"/>
    <n v="18"/>
  </r>
  <r>
    <x v="0"/>
    <x v="0"/>
    <x v="0"/>
    <x v="1"/>
    <n v="43830"/>
    <n v="30265"/>
    <n v="13565"/>
    <n v="99"/>
    <n v="90"/>
  </r>
  <r>
    <x v="0"/>
    <x v="2"/>
    <x v="3"/>
    <x v="2"/>
    <n v="6487"/>
    <n v="3301"/>
    <n v="3186"/>
    <n v="21"/>
    <n v="13"/>
  </r>
  <r>
    <x v="0"/>
    <x v="1"/>
    <x v="4"/>
    <x v="2"/>
    <n v="5232"/>
    <n v="3402"/>
    <n v="1830"/>
    <n v="113"/>
    <n v="16"/>
  </r>
  <r>
    <x v="0"/>
    <x v="0"/>
    <x v="0"/>
    <x v="3"/>
    <n v="8946"/>
    <n v="6523"/>
    <n v="2423"/>
    <n v="71"/>
    <n v="18"/>
  </r>
  <r>
    <x v="0"/>
    <x v="1"/>
    <x v="2"/>
    <x v="2"/>
    <n v="6878"/>
    <n v="4776"/>
    <n v="2102"/>
    <n v="51"/>
    <n v="19"/>
  </r>
  <r>
    <x v="0"/>
    <x v="1"/>
    <x v="5"/>
    <x v="3"/>
    <n v="9360"/>
    <n v="5564"/>
    <n v="3796"/>
    <n v="91"/>
    <n v="20"/>
  </r>
  <r>
    <x v="0"/>
    <x v="1"/>
    <x v="5"/>
    <x v="3"/>
    <n v="5076"/>
    <n v="3598"/>
    <n v="1478"/>
    <n v="57"/>
    <n v="36"/>
  </r>
  <r>
    <x v="0"/>
    <x v="0"/>
    <x v="0"/>
    <x v="0"/>
    <n v="15780"/>
    <n v="10822"/>
    <n v="4958"/>
    <n v="62"/>
    <n v="60"/>
  </r>
  <r>
    <x v="0"/>
    <x v="0"/>
    <x v="1"/>
    <x v="0"/>
    <n v="13140"/>
    <n v="10375"/>
    <n v="2765"/>
    <n v="65"/>
    <n v="30"/>
  </r>
  <r>
    <x v="0"/>
    <x v="3"/>
    <x v="6"/>
    <x v="4"/>
    <n v="7254"/>
    <n v="4223"/>
    <n v="3031"/>
    <n v="67"/>
    <n v="26"/>
  </r>
  <r>
    <x v="0"/>
    <x v="0"/>
    <x v="1"/>
    <x v="4"/>
    <n v="10488"/>
    <n v="7878"/>
    <n v="2610"/>
    <n v="89"/>
    <n v="23"/>
  </r>
  <r>
    <x v="0"/>
    <x v="0"/>
    <x v="1"/>
    <x v="4"/>
    <n v="29810"/>
    <n v="23298"/>
    <n v="6512"/>
    <n v="114"/>
    <n v="110"/>
  </r>
  <r>
    <x v="0"/>
    <x v="2"/>
    <x v="3"/>
    <x v="4"/>
    <n v="34578"/>
    <n v="25359"/>
    <n v="9219"/>
    <n v="117"/>
    <n v="113"/>
  </r>
  <r>
    <x v="0"/>
    <x v="1"/>
    <x v="2"/>
    <x v="3"/>
    <n v="24992"/>
    <n v="15909"/>
    <n v="9083"/>
    <n v="112"/>
    <n v="71"/>
  </r>
  <r>
    <x v="0"/>
    <x v="0"/>
    <x v="1"/>
    <x v="0"/>
    <n v="27336"/>
    <n v="15991"/>
    <n v="11345"/>
    <n v="78"/>
    <n v="68"/>
  </r>
  <r>
    <x v="0"/>
    <x v="2"/>
    <x v="3"/>
    <x v="2"/>
    <n v="9741"/>
    <n v="5330"/>
    <n v="4411"/>
    <n v="59"/>
    <n v="51"/>
  </r>
  <r>
    <x v="0"/>
    <x v="3"/>
    <x v="6"/>
    <x v="0"/>
    <n v="6440"/>
    <n v="5120"/>
    <n v="1320"/>
    <n v="70"/>
    <n v="28"/>
  </r>
  <r>
    <x v="0"/>
    <x v="2"/>
    <x v="3"/>
    <x v="4"/>
    <n v="8382"/>
    <n v="6276"/>
    <n v="2106"/>
    <n v="30"/>
    <n v="22"/>
  </r>
  <r>
    <x v="0"/>
    <x v="3"/>
    <x v="6"/>
    <x v="3"/>
    <n v="1950"/>
    <n v="1393"/>
    <n v="557"/>
    <n v="44"/>
    <n v="15"/>
  </r>
  <r>
    <x v="0"/>
    <x v="3"/>
    <x v="6"/>
    <x v="3"/>
    <n v="11760"/>
    <n v="8571"/>
    <n v="3189"/>
    <n v="65"/>
    <n v="60"/>
  </r>
  <r>
    <x v="0"/>
    <x v="1"/>
    <x v="4"/>
    <x v="1"/>
    <n v="3040"/>
    <n v="1655"/>
    <n v="1385"/>
    <n v="39"/>
    <n v="16"/>
  </r>
  <r>
    <x v="0"/>
    <x v="0"/>
    <x v="1"/>
    <x v="1"/>
    <n v="22000"/>
    <n v="15099"/>
    <n v="6901"/>
    <n v="52"/>
    <n v="50"/>
  </r>
  <r>
    <x v="0"/>
    <x v="3"/>
    <x v="6"/>
    <x v="3"/>
    <n v="31160"/>
    <n v="23921"/>
    <n v="7239"/>
    <n v="116"/>
    <n v="82"/>
  </r>
  <r>
    <x v="0"/>
    <x v="3"/>
    <x v="6"/>
    <x v="3"/>
    <n v="3379"/>
    <n v="2271"/>
    <n v="1108"/>
    <n v="107"/>
    <n v="31"/>
  </r>
  <r>
    <x v="0"/>
    <x v="3"/>
    <x v="6"/>
    <x v="0"/>
    <n v="33184"/>
    <n v="23225"/>
    <n v="9959"/>
    <n v="102"/>
    <n v="68"/>
  </r>
  <r>
    <x v="1"/>
    <x v="0"/>
    <x v="0"/>
    <x v="0"/>
    <n v="11456"/>
    <n v="8735"/>
    <n v="2721"/>
    <n v="55"/>
    <n v="32"/>
  </r>
  <r>
    <x v="1"/>
    <x v="1"/>
    <x v="2"/>
    <x v="4"/>
    <n v="9728"/>
    <n v="5327"/>
    <n v="4401"/>
    <n v="113"/>
    <n v="32"/>
  </r>
  <r>
    <x v="1"/>
    <x v="1"/>
    <x v="5"/>
    <x v="3"/>
    <n v="1133"/>
    <n v="871"/>
    <n v="262"/>
    <n v="37"/>
    <n v="11"/>
  </r>
  <r>
    <x v="1"/>
    <x v="0"/>
    <x v="1"/>
    <x v="3"/>
    <n v="1326"/>
    <n v="994"/>
    <n v="332"/>
    <n v="37"/>
    <n v="13"/>
  </r>
  <r>
    <x v="1"/>
    <x v="0"/>
    <x v="1"/>
    <x v="2"/>
    <n v="9570"/>
    <n v="6868"/>
    <n v="2702"/>
    <n v="94"/>
    <n v="22"/>
  </r>
  <r>
    <x v="1"/>
    <x v="0"/>
    <x v="0"/>
    <x v="3"/>
    <n v="5632"/>
    <n v="4400"/>
    <n v="1232"/>
    <n v="58"/>
    <n v="32"/>
  </r>
  <r>
    <x v="1"/>
    <x v="0"/>
    <x v="0"/>
    <x v="3"/>
    <n v="19552"/>
    <n v="11299"/>
    <n v="8253"/>
    <n v="104"/>
    <n v="52"/>
  </r>
  <r>
    <x v="1"/>
    <x v="3"/>
    <x v="6"/>
    <x v="3"/>
    <n v="5964"/>
    <n v="4135"/>
    <n v="1829"/>
    <n v="29"/>
    <n v="14"/>
  </r>
  <r>
    <x v="1"/>
    <x v="0"/>
    <x v="0"/>
    <x v="0"/>
    <n v="2805"/>
    <n v="1919"/>
    <n v="886"/>
    <n v="30"/>
    <n v="17"/>
  </r>
  <r>
    <x v="1"/>
    <x v="0"/>
    <x v="0"/>
    <x v="3"/>
    <n v="34706"/>
    <n v="25765"/>
    <n v="8941"/>
    <n v="109"/>
    <n v="74"/>
  </r>
  <r>
    <x v="1"/>
    <x v="3"/>
    <x v="6"/>
    <x v="2"/>
    <n v="19872"/>
    <n v="11401"/>
    <n v="8471"/>
    <n v="89"/>
    <n v="46"/>
  </r>
  <r>
    <x v="1"/>
    <x v="1"/>
    <x v="4"/>
    <x v="3"/>
    <n v="16128"/>
    <n v="11118"/>
    <n v="5010"/>
    <n v="87"/>
    <n v="63"/>
  </r>
  <r>
    <x v="1"/>
    <x v="1"/>
    <x v="2"/>
    <x v="1"/>
    <n v="5605"/>
    <n v="4309"/>
    <n v="1296"/>
    <n v="78"/>
    <n v="19"/>
  </r>
  <r>
    <x v="1"/>
    <x v="1"/>
    <x v="4"/>
    <x v="1"/>
    <n v="14880"/>
    <n v="11099"/>
    <n v="3781"/>
    <n v="113"/>
    <n v="96"/>
  </r>
  <r>
    <x v="1"/>
    <x v="3"/>
    <x v="6"/>
    <x v="4"/>
    <n v="4920"/>
    <n v="3382"/>
    <n v="1538"/>
    <n v="40"/>
    <n v="15"/>
  </r>
  <r>
    <x v="1"/>
    <x v="1"/>
    <x v="2"/>
    <x v="1"/>
    <n v="36366"/>
    <n v="26342"/>
    <n v="10024"/>
    <n v="109"/>
    <n v="87"/>
  </r>
  <r>
    <x v="1"/>
    <x v="1"/>
    <x v="4"/>
    <x v="0"/>
    <n v="5240"/>
    <n v="2846"/>
    <n v="2394"/>
    <n v="105"/>
    <n v="20"/>
  </r>
  <r>
    <x v="1"/>
    <x v="1"/>
    <x v="2"/>
    <x v="0"/>
    <n v="6700"/>
    <n v="3889"/>
    <n v="2811"/>
    <n v="21"/>
    <n v="20"/>
  </r>
  <r>
    <x v="1"/>
    <x v="1"/>
    <x v="4"/>
    <x v="2"/>
    <n v="36575"/>
    <n v="23181"/>
    <n v="13394"/>
    <n v="110"/>
    <n v="95"/>
  </r>
  <r>
    <x v="1"/>
    <x v="2"/>
    <x v="3"/>
    <x v="1"/>
    <n v="6642"/>
    <n v="4311"/>
    <n v="2331"/>
    <n v="29"/>
    <n v="27"/>
  </r>
  <r>
    <x v="1"/>
    <x v="1"/>
    <x v="5"/>
    <x v="4"/>
    <n v="4928"/>
    <n v="3787"/>
    <n v="1141"/>
    <n v="71"/>
    <n v="28"/>
  </r>
  <r>
    <x v="1"/>
    <x v="1"/>
    <x v="5"/>
    <x v="1"/>
    <n v="7198"/>
    <n v="4444"/>
    <n v="2754"/>
    <n v="74"/>
    <n v="59"/>
  </r>
  <r>
    <x v="1"/>
    <x v="1"/>
    <x v="4"/>
    <x v="4"/>
    <n v="5160"/>
    <n v="3378"/>
    <n v="1782"/>
    <n v="60"/>
    <n v="43"/>
  </r>
  <r>
    <x v="1"/>
    <x v="0"/>
    <x v="1"/>
    <x v="3"/>
    <n v="3498"/>
    <n v="2684"/>
    <n v="814"/>
    <n v="96"/>
    <n v="22"/>
  </r>
  <r>
    <x v="1"/>
    <x v="0"/>
    <x v="0"/>
    <x v="3"/>
    <n v="5456"/>
    <n v="2922"/>
    <n v="2534"/>
    <n v="23"/>
    <n v="16"/>
  </r>
  <r>
    <x v="1"/>
    <x v="3"/>
    <x v="6"/>
    <x v="1"/>
    <n v="7176"/>
    <n v="4754"/>
    <n v="2422"/>
    <n v="73"/>
    <n v="26"/>
  </r>
  <r>
    <x v="1"/>
    <x v="2"/>
    <x v="3"/>
    <x v="3"/>
    <n v="6018"/>
    <n v="3841"/>
    <n v="2177"/>
    <n v="50"/>
    <n v="34"/>
  </r>
  <r>
    <x v="1"/>
    <x v="2"/>
    <x v="3"/>
    <x v="1"/>
    <n v="8224"/>
    <n v="5867"/>
    <n v="2357"/>
    <n v="51"/>
    <n v="32"/>
  </r>
  <r>
    <x v="1"/>
    <x v="0"/>
    <x v="1"/>
    <x v="0"/>
    <n v="2592"/>
    <n v="1725"/>
    <n v="867"/>
    <n v="27"/>
    <n v="16"/>
  </r>
  <r>
    <x v="2"/>
    <x v="0"/>
    <x v="1"/>
    <x v="1"/>
    <n v="9932"/>
    <n v="5676"/>
    <n v="4256"/>
    <n v="120"/>
    <n v="52"/>
  </r>
  <r>
    <x v="2"/>
    <x v="1"/>
    <x v="5"/>
    <x v="3"/>
    <n v="10919"/>
    <n v="5491"/>
    <n v="5428"/>
    <n v="99"/>
    <n v="61"/>
  </r>
  <r>
    <x v="2"/>
    <x v="0"/>
    <x v="0"/>
    <x v="2"/>
    <n v="28700"/>
    <n v="16616"/>
    <n v="12084"/>
    <n v="113"/>
    <n v="70"/>
  </r>
  <r>
    <x v="2"/>
    <x v="3"/>
    <x v="6"/>
    <x v="0"/>
    <n v="7202"/>
    <n v="3635"/>
    <n v="3567"/>
    <n v="59"/>
    <n v="26"/>
  </r>
  <r>
    <x v="2"/>
    <x v="3"/>
    <x v="6"/>
    <x v="4"/>
    <n v="10304"/>
    <n v="7619"/>
    <n v="2685"/>
    <n v="48"/>
    <n v="46"/>
  </r>
  <r>
    <x v="2"/>
    <x v="1"/>
    <x v="2"/>
    <x v="2"/>
    <n v="11410"/>
    <n v="5899"/>
    <n v="5511"/>
    <n v="52"/>
    <n v="35"/>
  </r>
  <r>
    <x v="2"/>
    <x v="2"/>
    <x v="3"/>
    <x v="1"/>
    <n v="4464"/>
    <n v="2981"/>
    <n v="1483"/>
    <n v="23"/>
    <n v="12"/>
  </r>
  <r>
    <x v="2"/>
    <x v="0"/>
    <x v="0"/>
    <x v="1"/>
    <n v="14868"/>
    <n v="9194"/>
    <n v="5674"/>
    <n v="73"/>
    <n v="36"/>
  </r>
  <r>
    <x v="2"/>
    <x v="1"/>
    <x v="2"/>
    <x v="4"/>
    <n v="3757"/>
    <n v="2315"/>
    <n v="1442"/>
    <n v="38"/>
    <n v="17"/>
  </r>
  <r>
    <x v="2"/>
    <x v="1"/>
    <x v="5"/>
    <x v="3"/>
    <n v="10758"/>
    <n v="8547"/>
    <n v="2211"/>
    <n v="44"/>
    <n v="33"/>
  </r>
  <r>
    <x v="2"/>
    <x v="1"/>
    <x v="5"/>
    <x v="4"/>
    <n v="8679"/>
    <n v="5506"/>
    <n v="3173"/>
    <n v="39"/>
    <n v="33"/>
  </r>
  <r>
    <x v="2"/>
    <x v="1"/>
    <x v="4"/>
    <x v="1"/>
    <n v="3220"/>
    <n v="2036"/>
    <n v="1184"/>
    <n v="100"/>
    <n v="20"/>
  </r>
  <r>
    <x v="2"/>
    <x v="3"/>
    <x v="6"/>
    <x v="3"/>
    <n v="10877"/>
    <n v="6389"/>
    <n v="4488"/>
    <n v="98"/>
    <n v="73"/>
  </r>
  <r>
    <x v="2"/>
    <x v="0"/>
    <x v="0"/>
    <x v="2"/>
    <n v="8126"/>
    <n v="4385"/>
    <n v="3741"/>
    <n v="47"/>
    <n v="17"/>
  </r>
  <r>
    <x v="2"/>
    <x v="0"/>
    <x v="0"/>
    <x v="3"/>
    <n v="13905"/>
    <n v="9466"/>
    <n v="4439"/>
    <n v="48"/>
    <n v="45"/>
  </r>
  <r>
    <x v="2"/>
    <x v="0"/>
    <x v="1"/>
    <x v="4"/>
    <n v="12255"/>
    <n v="8044"/>
    <n v="4211"/>
    <n v="81"/>
    <n v="57"/>
  </r>
  <r>
    <x v="2"/>
    <x v="3"/>
    <x v="6"/>
    <x v="0"/>
    <n v="35866"/>
    <n v="22690"/>
    <n v="13176"/>
    <n v="88"/>
    <n v="79"/>
  </r>
  <r>
    <x v="2"/>
    <x v="1"/>
    <x v="5"/>
    <x v="4"/>
    <n v="15908"/>
    <n v="8077"/>
    <n v="7831"/>
    <n v="53"/>
    <n v="41"/>
  </r>
  <r>
    <x v="2"/>
    <x v="1"/>
    <x v="5"/>
    <x v="1"/>
    <n v="12247"/>
    <n v="7400"/>
    <n v="4847"/>
    <n v="51"/>
    <n v="37"/>
  </r>
  <r>
    <x v="2"/>
    <x v="1"/>
    <x v="5"/>
    <x v="1"/>
    <n v="6752"/>
    <n v="3695"/>
    <n v="3057"/>
    <n v="97"/>
    <n v="32"/>
  </r>
  <r>
    <x v="2"/>
    <x v="0"/>
    <x v="1"/>
    <x v="3"/>
    <n v="8932"/>
    <n v="6551"/>
    <n v="2381"/>
    <n v="41"/>
    <n v="29"/>
  </r>
  <r>
    <x v="2"/>
    <x v="1"/>
    <x v="4"/>
    <x v="3"/>
    <n v="5364"/>
    <n v="3699"/>
    <n v="1665"/>
    <n v="20"/>
    <n v="18"/>
  </r>
  <r>
    <x v="2"/>
    <x v="3"/>
    <x v="6"/>
    <x v="1"/>
    <n v="6586"/>
    <n v="4251"/>
    <n v="2335"/>
    <n v="99"/>
    <n v="37"/>
  </r>
  <r>
    <x v="2"/>
    <x v="2"/>
    <x v="3"/>
    <x v="0"/>
    <n v="12988"/>
    <n v="10114"/>
    <n v="2874"/>
    <n v="37"/>
    <n v="34"/>
  </r>
  <r>
    <x v="2"/>
    <x v="0"/>
    <x v="1"/>
    <x v="4"/>
    <n v="19422"/>
    <n v="15183"/>
    <n v="4239"/>
    <n v="67"/>
    <n v="39"/>
  </r>
  <r>
    <x v="2"/>
    <x v="0"/>
    <x v="0"/>
    <x v="1"/>
    <n v="7119"/>
    <n v="5463"/>
    <n v="1656"/>
    <n v="42"/>
    <n v="21"/>
  </r>
  <r>
    <x v="2"/>
    <x v="2"/>
    <x v="3"/>
    <x v="2"/>
    <n v="20538"/>
    <n v="11676"/>
    <n v="8862"/>
    <n v="43"/>
    <n v="42"/>
  </r>
  <r>
    <x v="2"/>
    <x v="2"/>
    <x v="3"/>
    <x v="0"/>
    <n v="13392"/>
    <n v="10315"/>
    <n v="3077"/>
    <n v="47"/>
    <n v="31"/>
  </r>
  <r>
    <x v="2"/>
    <x v="1"/>
    <x v="5"/>
    <x v="4"/>
    <n v="4185"/>
    <n v="2821"/>
    <n v="1364"/>
    <n v="113"/>
    <n v="15"/>
  </r>
  <r>
    <x v="2"/>
    <x v="0"/>
    <x v="1"/>
    <x v="3"/>
    <n v="4732"/>
    <n v="3623"/>
    <n v="1109"/>
    <n v="115"/>
    <n v="14"/>
  </r>
  <r>
    <x v="2"/>
    <x v="3"/>
    <x v="6"/>
    <x v="4"/>
    <n v="9898"/>
    <n v="5954"/>
    <n v="3944"/>
    <n v="50"/>
    <n v="49"/>
  </r>
  <r>
    <x v="3"/>
    <x v="0"/>
    <x v="1"/>
    <x v="4"/>
    <n v="8326"/>
    <n v="6096"/>
    <n v="2230"/>
    <n v="35"/>
    <n v="23"/>
  </r>
  <r>
    <x v="3"/>
    <x v="2"/>
    <x v="3"/>
    <x v="4"/>
    <n v="5400"/>
    <n v="3247"/>
    <n v="2153"/>
    <n v="110"/>
    <n v="24"/>
  </r>
  <r>
    <x v="3"/>
    <x v="1"/>
    <x v="5"/>
    <x v="1"/>
    <n v="15059"/>
    <n v="8048"/>
    <n v="7011"/>
    <n v="38"/>
    <n v="37"/>
  </r>
  <r>
    <x v="3"/>
    <x v="2"/>
    <x v="3"/>
    <x v="1"/>
    <n v="27482"/>
    <n v="15000"/>
    <n v="12482"/>
    <n v="92"/>
    <n v="91"/>
  </r>
  <r>
    <x v="3"/>
    <x v="0"/>
    <x v="0"/>
    <x v="3"/>
    <n v="10317"/>
    <n v="5892"/>
    <n v="4425"/>
    <n v="87"/>
    <n v="57"/>
  </r>
  <r>
    <x v="3"/>
    <x v="0"/>
    <x v="1"/>
    <x v="4"/>
    <n v="7684"/>
    <n v="5730"/>
    <n v="1954"/>
    <n v="21"/>
    <n v="17"/>
  </r>
  <r>
    <x v="3"/>
    <x v="1"/>
    <x v="4"/>
    <x v="3"/>
    <n v="16500"/>
    <n v="11989"/>
    <n v="4511"/>
    <n v="96"/>
    <n v="75"/>
  </r>
  <r>
    <x v="3"/>
    <x v="2"/>
    <x v="3"/>
    <x v="2"/>
    <n v="3016"/>
    <n v="1762"/>
    <n v="1254"/>
    <n v="73"/>
    <n v="26"/>
  </r>
  <r>
    <x v="3"/>
    <x v="2"/>
    <x v="3"/>
    <x v="4"/>
    <n v="1856"/>
    <n v="1401"/>
    <n v="455"/>
    <n v="73"/>
    <n v="16"/>
  </r>
  <r>
    <x v="3"/>
    <x v="1"/>
    <x v="4"/>
    <x v="4"/>
    <n v="4620"/>
    <n v="3142"/>
    <n v="1478"/>
    <n v="31"/>
    <n v="30"/>
  </r>
  <r>
    <x v="3"/>
    <x v="1"/>
    <x v="5"/>
    <x v="4"/>
    <n v="7940"/>
    <n v="4098"/>
    <n v="3842"/>
    <n v="57"/>
    <n v="20"/>
  </r>
  <r>
    <x v="3"/>
    <x v="1"/>
    <x v="4"/>
    <x v="4"/>
    <n v="3587"/>
    <n v="2746"/>
    <n v="841"/>
    <n v="30"/>
    <n v="17"/>
  </r>
  <r>
    <x v="3"/>
    <x v="0"/>
    <x v="1"/>
    <x v="3"/>
    <n v="8673"/>
    <n v="6504"/>
    <n v="2169"/>
    <n v="46"/>
    <n v="21"/>
  </r>
  <r>
    <x v="3"/>
    <x v="3"/>
    <x v="6"/>
    <x v="3"/>
    <n v="33540"/>
    <n v="25547"/>
    <n v="7993"/>
    <n v="109"/>
    <n v="86"/>
  </r>
  <r>
    <x v="3"/>
    <x v="2"/>
    <x v="3"/>
    <x v="1"/>
    <n v="17680"/>
    <n v="12897"/>
    <n v="4783"/>
    <n v="61"/>
    <n v="52"/>
  </r>
  <r>
    <x v="3"/>
    <x v="2"/>
    <x v="3"/>
    <x v="0"/>
    <n v="10440"/>
    <n v="7527"/>
    <n v="2913"/>
    <n v="88"/>
    <n v="40"/>
  </r>
  <r>
    <x v="3"/>
    <x v="0"/>
    <x v="0"/>
    <x v="4"/>
    <n v="11532"/>
    <n v="8018"/>
    <n v="3514"/>
    <n v="39"/>
    <n v="31"/>
  </r>
  <r>
    <x v="3"/>
    <x v="0"/>
    <x v="0"/>
    <x v="1"/>
    <n v="8925"/>
    <n v="5232"/>
    <n v="3693"/>
    <n v="31"/>
    <n v="21"/>
  </r>
  <r>
    <x v="3"/>
    <x v="0"/>
    <x v="1"/>
    <x v="4"/>
    <n v="9660"/>
    <n v="7004"/>
    <n v="2656"/>
    <n v="21"/>
    <n v="21"/>
  </r>
  <r>
    <x v="3"/>
    <x v="0"/>
    <x v="0"/>
    <x v="4"/>
    <n v="4088"/>
    <n v="2625"/>
    <n v="1463"/>
    <n v="29"/>
    <n v="28"/>
  </r>
  <r>
    <x v="3"/>
    <x v="3"/>
    <x v="6"/>
    <x v="2"/>
    <n v="16485"/>
    <n v="12477"/>
    <n v="4008"/>
    <n v="47"/>
    <n v="35"/>
  </r>
  <r>
    <x v="3"/>
    <x v="0"/>
    <x v="0"/>
    <x v="3"/>
    <n v="27028"/>
    <n v="16251"/>
    <n v="10777"/>
    <n v="61"/>
    <n v="58"/>
  </r>
  <r>
    <x v="3"/>
    <x v="1"/>
    <x v="5"/>
    <x v="4"/>
    <n v="16160"/>
    <n v="8877"/>
    <n v="7283"/>
    <n v="114"/>
    <n v="40"/>
  </r>
  <r>
    <x v="3"/>
    <x v="3"/>
    <x v="6"/>
    <x v="3"/>
    <n v="5130"/>
    <n v="4039"/>
    <n v="1091"/>
    <n v="56"/>
    <n v="30"/>
  </r>
  <r>
    <x v="3"/>
    <x v="0"/>
    <x v="1"/>
    <x v="0"/>
    <n v="16356"/>
    <n v="12210"/>
    <n v="4146"/>
    <n v="88"/>
    <n v="87"/>
  </r>
  <r>
    <x v="3"/>
    <x v="1"/>
    <x v="2"/>
    <x v="0"/>
    <n v="10764"/>
    <n v="5430"/>
    <n v="5334"/>
    <n v="71"/>
    <n v="39"/>
  </r>
  <r>
    <x v="3"/>
    <x v="0"/>
    <x v="1"/>
    <x v="2"/>
    <n v="15912"/>
    <n v="8786"/>
    <n v="7126"/>
    <n v="109"/>
    <n v="78"/>
  </r>
  <r>
    <x v="3"/>
    <x v="2"/>
    <x v="3"/>
    <x v="2"/>
    <n v="4452"/>
    <n v="3298"/>
    <n v="1154"/>
    <n v="89"/>
    <n v="28"/>
  </r>
  <r>
    <x v="3"/>
    <x v="1"/>
    <x v="4"/>
    <x v="1"/>
    <n v="2960"/>
    <n v="1904"/>
    <n v="1056"/>
    <n v="38"/>
    <n v="20"/>
  </r>
  <r>
    <x v="3"/>
    <x v="1"/>
    <x v="2"/>
    <x v="4"/>
    <n v="7906"/>
    <n v="5849"/>
    <n v="2057"/>
    <n v="83"/>
    <n v="59"/>
  </r>
  <r>
    <x v="4"/>
    <x v="0"/>
    <x v="0"/>
    <x v="0"/>
    <n v="9369"/>
    <n v="4731"/>
    <n v="4638"/>
    <n v="48"/>
    <n v="27"/>
  </r>
  <r>
    <x v="4"/>
    <x v="1"/>
    <x v="2"/>
    <x v="1"/>
    <n v="14630"/>
    <n v="8804"/>
    <n v="5826"/>
    <n v="97"/>
    <n v="70"/>
  </r>
  <r>
    <x v="4"/>
    <x v="2"/>
    <x v="3"/>
    <x v="2"/>
    <n v="8904"/>
    <n v="5720"/>
    <n v="3184"/>
    <n v="34"/>
    <n v="21"/>
  </r>
  <r>
    <x v="4"/>
    <x v="1"/>
    <x v="5"/>
    <x v="1"/>
    <n v="46172"/>
    <n v="31236"/>
    <n v="14936"/>
    <n v="109"/>
    <n v="97"/>
  </r>
  <r>
    <x v="4"/>
    <x v="0"/>
    <x v="0"/>
    <x v="2"/>
    <n v="20592"/>
    <n v="14046"/>
    <n v="6546"/>
    <n v="85"/>
    <n v="48"/>
  </r>
  <r>
    <x v="4"/>
    <x v="3"/>
    <x v="6"/>
    <x v="1"/>
    <n v="2420"/>
    <n v="1652"/>
    <n v="768"/>
    <n v="23"/>
    <n v="11"/>
  </r>
  <r>
    <x v="4"/>
    <x v="3"/>
    <x v="6"/>
    <x v="2"/>
    <n v="5018"/>
    <n v="2606"/>
    <n v="2412"/>
    <n v="80"/>
    <n v="13"/>
  </r>
  <r>
    <x v="4"/>
    <x v="2"/>
    <x v="3"/>
    <x v="1"/>
    <n v="17316"/>
    <n v="9370"/>
    <n v="7946"/>
    <n v="42"/>
    <n v="36"/>
  </r>
  <r>
    <x v="4"/>
    <x v="2"/>
    <x v="3"/>
    <x v="1"/>
    <n v="17440"/>
    <n v="10775"/>
    <n v="6665"/>
    <n v="86"/>
    <n v="40"/>
  </r>
  <r>
    <x v="4"/>
    <x v="1"/>
    <x v="5"/>
    <x v="4"/>
    <n v="12609"/>
    <n v="6952"/>
    <n v="5657"/>
    <n v="86"/>
    <n v="27"/>
  </r>
  <r>
    <x v="4"/>
    <x v="1"/>
    <x v="5"/>
    <x v="4"/>
    <n v="4326"/>
    <n v="2494"/>
    <n v="1832"/>
    <n v="119"/>
    <n v="42"/>
  </r>
  <r>
    <x v="4"/>
    <x v="1"/>
    <x v="5"/>
    <x v="1"/>
    <n v="8762"/>
    <n v="4704"/>
    <n v="4058"/>
    <n v="39"/>
    <n v="26"/>
  </r>
  <r>
    <x v="4"/>
    <x v="3"/>
    <x v="6"/>
    <x v="0"/>
    <n v="13566"/>
    <n v="10318"/>
    <n v="3248"/>
    <n v="58"/>
    <n v="42"/>
  </r>
  <r>
    <x v="4"/>
    <x v="0"/>
    <x v="1"/>
    <x v="3"/>
    <n v="38130"/>
    <n v="24499"/>
    <n v="13631"/>
    <n v="113"/>
    <n v="93"/>
  </r>
  <r>
    <x v="4"/>
    <x v="1"/>
    <x v="4"/>
    <x v="4"/>
    <n v="11542"/>
    <n v="7321"/>
    <n v="4221"/>
    <n v="40"/>
    <n v="29"/>
  </r>
  <r>
    <x v="4"/>
    <x v="1"/>
    <x v="2"/>
    <x v="3"/>
    <n v="6384"/>
    <n v="4014"/>
    <n v="2370"/>
    <n v="36"/>
    <n v="16"/>
  </r>
  <r>
    <x v="4"/>
    <x v="1"/>
    <x v="2"/>
    <x v="4"/>
    <n v="2727"/>
    <n v="2171"/>
    <n v="556"/>
    <n v="66"/>
    <n v="27"/>
  </r>
  <r>
    <x v="4"/>
    <x v="2"/>
    <x v="3"/>
    <x v="2"/>
    <n v="37499"/>
    <n v="18762"/>
    <n v="18737"/>
    <n v="103"/>
    <n v="77"/>
  </r>
  <r>
    <x v="4"/>
    <x v="2"/>
    <x v="3"/>
    <x v="0"/>
    <n v="24304"/>
    <n v="18211"/>
    <n v="6093"/>
    <n v="57"/>
    <n v="56"/>
  </r>
  <r>
    <x v="4"/>
    <x v="0"/>
    <x v="1"/>
    <x v="2"/>
    <n v="19215"/>
    <n v="14304"/>
    <n v="4911"/>
    <n v="86"/>
    <n v="61"/>
  </r>
  <r>
    <x v="4"/>
    <x v="3"/>
    <x v="6"/>
    <x v="4"/>
    <n v="15232"/>
    <n v="11099"/>
    <n v="4133"/>
    <n v="94"/>
    <n v="56"/>
  </r>
  <r>
    <x v="4"/>
    <x v="3"/>
    <x v="6"/>
    <x v="4"/>
    <n v="8949"/>
    <n v="5796"/>
    <n v="3153"/>
    <n v="31"/>
    <n v="19"/>
  </r>
  <r>
    <x v="4"/>
    <x v="1"/>
    <x v="4"/>
    <x v="1"/>
    <n v="5649"/>
    <n v="3430"/>
    <n v="2219"/>
    <n v="96"/>
    <n v="21"/>
  </r>
  <r>
    <x v="4"/>
    <x v="1"/>
    <x v="5"/>
    <x v="3"/>
    <n v="17712"/>
    <n v="13693"/>
    <n v="4019"/>
    <n v="100"/>
    <n v="72"/>
  </r>
  <r>
    <x v="4"/>
    <x v="0"/>
    <x v="0"/>
    <x v="2"/>
    <n v="7290"/>
    <n v="3654"/>
    <n v="3636"/>
    <n v="28"/>
    <n v="27"/>
  </r>
  <r>
    <x v="4"/>
    <x v="1"/>
    <x v="4"/>
    <x v="2"/>
    <n v="5372"/>
    <n v="3480"/>
    <n v="1892"/>
    <n v="98"/>
    <n v="17"/>
  </r>
  <r>
    <x v="4"/>
    <x v="2"/>
    <x v="3"/>
    <x v="4"/>
    <n v="2534"/>
    <n v="1545"/>
    <n v="989"/>
    <n v="72"/>
    <n v="14"/>
  </r>
  <r>
    <x v="4"/>
    <x v="0"/>
    <x v="1"/>
    <x v="3"/>
    <n v="5988"/>
    <n v="3139"/>
    <n v="2849"/>
    <n v="67"/>
    <n v="12"/>
  </r>
  <r>
    <x v="4"/>
    <x v="1"/>
    <x v="4"/>
    <x v="4"/>
    <n v="7502"/>
    <n v="4701"/>
    <n v="2801"/>
    <n v="109"/>
    <n v="31"/>
  </r>
  <r>
    <x v="4"/>
    <x v="1"/>
    <x v="4"/>
    <x v="4"/>
    <n v="15092"/>
    <n v="11249"/>
    <n v="3843"/>
    <n v="54"/>
    <n v="49"/>
  </r>
  <r>
    <x v="4"/>
    <x v="1"/>
    <x v="4"/>
    <x v="2"/>
    <n v="17205"/>
    <n v="11271"/>
    <n v="5934"/>
    <n v="80"/>
    <n v="37"/>
  </r>
  <r>
    <x v="5"/>
    <x v="2"/>
    <x v="3"/>
    <x v="2"/>
    <n v="2415"/>
    <n v="1230"/>
    <n v="1185"/>
    <n v="25"/>
    <n v="23"/>
  </r>
  <r>
    <x v="5"/>
    <x v="2"/>
    <x v="3"/>
    <x v="0"/>
    <n v="5235"/>
    <n v="2637"/>
    <n v="2598"/>
    <n v="27"/>
    <n v="15"/>
  </r>
  <r>
    <x v="5"/>
    <x v="1"/>
    <x v="4"/>
    <x v="1"/>
    <n v="7391"/>
    <n v="4804"/>
    <n v="2587"/>
    <n v="43"/>
    <n v="19"/>
  </r>
  <r>
    <x v="5"/>
    <x v="1"/>
    <x v="4"/>
    <x v="2"/>
    <n v="21604"/>
    <n v="11748"/>
    <n v="9856"/>
    <n v="86"/>
    <n v="44"/>
  </r>
  <r>
    <x v="5"/>
    <x v="1"/>
    <x v="5"/>
    <x v="0"/>
    <n v="4228"/>
    <n v="2741"/>
    <n v="1487"/>
    <n v="59"/>
    <n v="14"/>
  </r>
  <r>
    <x v="5"/>
    <x v="1"/>
    <x v="4"/>
    <x v="4"/>
    <n v="23725"/>
    <n v="15119"/>
    <n v="8606"/>
    <n v="87"/>
    <n v="73"/>
  </r>
  <r>
    <x v="5"/>
    <x v="1"/>
    <x v="2"/>
    <x v="4"/>
    <n v="9729"/>
    <n v="4947"/>
    <n v="4782"/>
    <n v="119"/>
    <n v="47"/>
  </r>
  <r>
    <x v="5"/>
    <x v="1"/>
    <x v="5"/>
    <x v="0"/>
    <n v="27145"/>
    <n v="13904"/>
    <n v="13241"/>
    <n v="70"/>
    <n v="61"/>
  </r>
  <r>
    <x v="5"/>
    <x v="0"/>
    <x v="0"/>
    <x v="3"/>
    <n v="8700"/>
    <n v="5624"/>
    <n v="3076"/>
    <n v="81"/>
    <n v="50"/>
  </r>
  <r>
    <x v="5"/>
    <x v="1"/>
    <x v="4"/>
    <x v="0"/>
    <n v="17748"/>
    <n v="11659"/>
    <n v="6089"/>
    <n v="79"/>
    <n v="58"/>
  </r>
  <r>
    <x v="5"/>
    <x v="3"/>
    <x v="6"/>
    <x v="3"/>
    <n v="17667"/>
    <n v="12584"/>
    <n v="5083"/>
    <n v="44"/>
    <n v="39"/>
  </r>
  <r>
    <x v="5"/>
    <x v="0"/>
    <x v="1"/>
    <x v="1"/>
    <n v="4301"/>
    <n v="2817"/>
    <n v="1484"/>
    <n v="27"/>
    <n v="17"/>
  </r>
  <r>
    <x v="5"/>
    <x v="0"/>
    <x v="0"/>
    <x v="3"/>
    <n v="13797"/>
    <n v="9999"/>
    <n v="3798"/>
    <n v="69"/>
    <n v="63"/>
  </r>
  <r>
    <x v="5"/>
    <x v="0"/>
    <x v="1"/>
    <x v="0"/>
    <n v="15040"/>
    <n v="8345"/>
    <n v="6695"/>
    <n v="94"/>
    <n v="47"/>
  </r>
  <r>
    <x v="5"/>
    <x v="0"/>
    <x v="0"/>
    <x v="4"/>
    <n v="18040"/>
    <n v="10506"/>
    <n v="7534"/>
    <n v="78"/>
    <n v="55"/>
  </r>
  <r>
    <x v="5"/>
    <x v="1"/>
    <x v="4"/>
    <x v="4"/>
    <n v="9415"/>
    <n v="5341"/>
    <n v="4074"/>
    <n v="120"/>
    <n v="35"/>
  </r>
  <r>
    <x v="5"/>
    <x v="1"/>
    <x v="5"/>
    <x v="0"/>
    <n v="6194"/>
    <n v="3526"/>
    <n v="2668"/>
    <n v="48"/>
    <n v="38"/>
  </r>
  <r>
    <x v="5"/>
    <x v="3"/>
    <x v="6"/>
    <x v="1"/>
    <n v="6760"/>
    <n v="3762"/>
    <n v="2998"/>
    <n v="90"/>
    <n v="26"/>
  </r>
  <r>
    <x v="5"/>
    <x v="1"/>
    <x v="2"/>
    <x v="2"/>
    <n v="20976"/>
    <n v="16239"/>
    <n v="4737"/>
    <n v="77"/>
    <n v="48"/>
  </r>
  <r>
    <x v="5"/>
    <x v="1"/>
    <x v="2"/>
    <x v="0"/>
    <n v="21372"/>
    <n v="15536"/>
    <n v="5836"/>
    <n v="101"/>
    <n v="52"/>
  </r>
  <r>
    <x v="5"/>
    <x v="1"/>
    <x v="4"/>
    <x v="3"/>
    <n v="3392"/>
    <n v="1925"/>
    <n v="1467"/>
    <n v="85"/>
    <n v="32"/>
  </r>
  <r>
    <x v="5"/>
    <x v="0"/>
    <x v="0"/>
    <x v="3"/>
    <n v="9390"/>
    <n v="6552"/>
    <n v="2838"/>
    <n v="40"/>
    <n v="30"/>
  </r>
  <r>
    <x v="5"/>
    <x v="1"/>
    <x v="2"/>
    <x v="3"/>
    <n v="10335"/>
    <n v="7808"/>
    <n v="2527"/>
    <n v="77"/>
    <n v="53"/>
  </r>
  <r>
    <x v="5"/>
    <x v="2"/>
    <x v="3"/>
    <x v="2"/>
    <n v="9360"/>
    <n v="6701"/>
    <n v="2659"/>
    <n v="27"/>
    <n v="20"/>
  </r>
  <r>
    <x v="5"/>
    <x v="1"/>
    <x v="4"/>
    <x v="0"/>
    <n v="16884"/>
    <n v="11220"/>
    <n v="5664"/>
    <n v="54"/>
    <n v="36"/>
  </r>
  <r>
    <x v="5"/>
    <x v="0"/>
    <x v="0"/>
    <x v="1"/>
    <n v="8820"/>
    <n v="5019"/>
    <n v="3801"/>
    <n v="49"/>
    <n v="36"/>
  </r>
  <r>
    <x v="5"/>
    <x v="3"/>
    <x v="6"/>
    <x v="4"/>
    <n v="8815"/>
    <n v="4866"/>
    <n v="3949"/>
    <n v="53"/>
    <n v="43"/>
  </r>
  <r>
    <x v="5"/>
    <x v="1"/>
    <x v="4"/>
    <x v="4"/>
    <n v="10444"/>
    <n v="6181"/>
    <n v="4263"/>
    <n v="29"/>
    <n v="28"/>
  </r>
  <r>
    <x v="5"/>
    <x v="1"/>
    <x v="5"/>
    <x v="3"/>
    <n v="5868"/>
    <n v="3090"/>
    <n v="2778"/>
    <n v="38"/>
    <n v="36"/>
  </r>
  <r>
    <x v="5"/>
    <x v="1"/>
    <x v="2"/>
    <x v="4"/>
    <n v="9840"/>
    <n v="5716"/>
    <n v="4124"/>
    <n v="38"/>
    <n v="20"/>
  </r>
  <r>
    <x v="6"/>
    <x v="3"/>
    <x v="6"/>
    <x v="3"/>
    <n v="9648"/>
    <n v="7381"/>
    <n v="2267"/>
    <n v="61"/>
    <n v="24"/>
  </r>
  <r>
    <x v="6"/>
    <x v="0"/>
    <x v="1"/>
    <x v="3"/>
    <n v="13984"/>
    <n v="9891"/>
    <n v="4093"/>
    <n v="120"/>
    <n v="32"/>
  </r>
  <r>
    <x v="6"/>
    <x v="1"/>
    <x v="2"/>
    <x v="4"/>
    <n v="5894"/>
    <n v="3693"/>
    <n v="2201"/>
    <n v="109"/>
    <n v="14"/>
  </r>
  <r>
    <x v="6"/>
    <x v="1"/>
    <x v="2"/>
    <x v="0"/>
    <n v="4131"/>
    <n v="2600"/>
    <n v="1531"/>
    <n v="44"/>
    <n v="27"/>
  </r>
  <r>
    <x v="6"/>
    <x v="0"/>
    <x v="0"/>
    <x v="3"/>
    <n v="14280"/>
    <n v="9124"/>
    <n v="5156"/>
    <n v="111"/>
    <n v="56"/>
  </r>
  <r>
    <x v="6"/>
    <x v="1"/>
    <x v="2"/>
    <x v="0"/>
    <n v="4947"/>
    <n v="3838"/>
    <n v="1109"/>
    <n v="27"/>
    <n v="17"/>
  </r>
  <r>
    <x v="6"/>
    <x v="0"/>
    <x v="0"/>
    <x v="4"/>
    <n v="3612"/>
    <n v="2145"/>
    <n v="1467"/>
    <n v="23"/>
    <n v="14"/>
  </r>
  <r>
    <x v="6"/>
    <x v="1"/>
    <x v="5"/>
    <x v="0"/>
    <n v="3354"/>
    <n v="1803"/>
    <n v="1551"/>
    <n v="100"/>
    <n v="26"/>
  </r>
  <r>
    <x v="6"/>
    <x v="3"/>
    <x v="6"/>
    <x v="3"/>
    <n v="4284"/>
    <n v="2206"/>
    <n v="2078"/>
    <n v="52"/>
    <n v="12"/>
  </r>
  <r>
    <x v="6"/>
    <x v="2"/>
    <x v="3"/>
    <x v="2"/>
    <n v="6034"/>
    <n v="4302"/>
    <n v="1732"/>
    <n v="70"/>
    <n v="14"/>
  </r>
  <r>
    <x v="6"/>
    <x v="1"/>
    <x v="4"/>
    <x v="1"/>
    <n v="4922"/>
    <n v="3313"/>
    <n v="1609"/>
    <n v="91"/>
    <n v="23"/>
  </r>
  <r>
    <x v="6"/>
    <x v="0"/>
    <x v="0"/>
    <x v="0"/>
    <n v="17675"/>
    <n v="11147"/>
    <n v="6528"/>
    <n v="120"/>
    <n v="101"/>
  </r>
  <r>
    <x v="6"/>
    <x v="1"/>
    <x v="4"/>
    <x v="1"/>
    <n v="16704"/>
    <n v="11923"/>
    <n v="4781"/>
    <n v="91"/>
    <n v="87"/>
  </r>
  <r>
    <x v="6"/>
    <x v="0"/>
    <x v="1"/>
    <x v="2"/>
    <n v="5446"/>
    <n v="3581"/>
    <n v="1865"/>
    <n v="63"/>
    <n v="14"/>
  </r>
  <r>
    <x v="6"/>
    <x v="1"/>
    <x v="5"/>
    <x v="3"/>
    <n v="9028"/>
    <n v="5345"/>
    <n v="3683"/>
    <n v="56"/>
    <n v="37"/>
  </r>
  <r>
    <x v="6"/>
    <x v="0"/>
    <x v="1"/>
    <x v="1"/>
    <n v="31746"/>
    <n v="16647"/>
    <n v="15099"/>
    <n v="85"/>
    <n v="78"/>
  </r>
  <r>
    <x v="6"/>
    <x v="1"/>
    <x v="5"/>
    <x v="0"/>
    <n v="34950"/>
    <n v="24915"/>
    <n v="10035"/>
    <n v="77"/>
    <n v="75"/>
  </r>
  <r>
    <x v="6"/>
    <x v="1"/>
    <x v="2"/>
    <x v="4"/>
    <n v="25576"/>
    <n v="14782"/>
    <n v="10794"/>
    <n v="118"/>
    <n v="92"/>
  </r>
  <r>
    <x v="6"/>
    <x v="1"/>
    <x v="4"/>
    <x v="2"/>
    <n v="8177"/>
    <n v="6373"/>
    <n v="1804"/>
    <n v="28"/>
    <n v="17"/>
  </r>
  <r>
    <x v="6"/>
    <x v="1"/>
    <x v="4"/>
    <x v="0"/>
    <n v="3799"/>
    <n v="1913"/>
    <n v="1886"/>
    <n v="50"/>
    <n v="29"/>
  </r>
  <r>
    <x v="6"/>
    <x v="3"/>
    <x v="6"/>
    <x v="3"/>
    <n v="7327"/>
    <n v="5566"/>
    <n v="1761"/>
    <n v="20"/>
    <n v="17"/>
  </r>
  <r>
    <x v="6"/>
    <x v="2"/>
    <x v="3"/>
    <x v="2"/>
    <n v="27573"/>
    <n v="20439"/>
    <n v="7134"/>
    <n v="106"/>
    <n v="91"/>
  </r>
  <r>
    <x v="6"/>
    <x v="1"/>
    <x v="5"/>
    <x v="4"/>
    <n v="18520"/>
    <n v="14271"/>
    <n v="4249"/>
    <n v="86"/>
    <n v="40"/>
  </r>
  <r>
    <x v="6"/>
    <x v="1"/>
    <x v="4"/>
    <x v="2"/>
    <n v="3490"/>
    <n v="2497"/>
    <n v="993"/>
    <n v="20"/>
    <n v="10"/>
  </r>
  <r>
    <x v="6"/>
    <x v="1"/>
    <x v="5"/>
    <x v="3"/>
    <n v="17160"/>
    <n v="9423"/>
    <n v="7737"/>
    <n v="47"/>
    <n v="39"/>
  </r>
  <r>
    <x v="6"/>
    <x v="1"/>
    <x v="4"/>
    <x v="0"/>
    <n v="14400"/>
    <n v="10103"/>
    <n v="4297"/>
    <n v="65"/>
    <n v="32"/>
  </r>
  <r>
    <x v="6"/>
    <x v="3"/>
    <x v="6"/>
    <x v="2"/>
    <n v="1212"/>
    <n v="704"/>
    <n v="508"/>
    <n v="29"/>
    <n v="12"/>
  </r>
  <r>
    <x v="6"/>
    <x v="1"/>
    <x v="4"/>
    <x v="4"/>
    <n v="4500"/>
    <n v="2721"/>
    <n v="1779"/>
    <n v="74"/>
    <n v="15"/>
  </r>
  <r>
    <x v="6"/>
    <x v="1"/>
    <x v="5"/>
    <x v="0"/>
    <n v="8180"/>
    <n v="6354"/>
    <n v="1826"/>
    <n v="76"/>
    <n v="20"/>
  </r>
  <r>
    <x v="6"/>
    <x v="1"/>
    <x v="4"/>
    <x v="4"/>
    <n v="4500"/>
    <n v="2647"/>
    <n v="1853"/>
    <n v="39"/>
    <n v="15"/>
  </r>
  <r>
    <x v="6"/>
    <x v="3"/>
    <x v="6"/>
    <x v="0"/>
    <n v="33872"/>
    <n v="20317"/>
    <n v="13555"/>
    <n v="89"/>
    <n v="73"/>
  </r>
  <r>
    <x v="7"/>
    <x v="1"/>
    <x v="2"/>
    <x v="0"/>
    <n v="5143"/>
    <n v="3862"/>
    <n v="1281"/>
    <n v="45"/>
    <n v="37"/>
  </r>
  <r>
    <x v="7"/>
    <x v="1"/>
    <x v="5"/>
    <x v="0"/>
    <n v="10975"/>
    <n v="8645"/>
    <n v="2330"/>
    <n v="85"/>
    <n v="25"/>
  </r>
  <r>
    <x v="7"/>
    <x v="3"/>
    <x v="6"/>
    <x v="4"/>
    <n v="6103"/>
    <n v="4576"/>
    <n v="1527"/>
    <n v="42"/>
    <n v="17"/>
  </r>
  <r>
    <x v="7"/>
    <x v="3"/>
    <x v="6"/>
    <x v="4"/>
    <n v="5550"/>
    <n v="4180"/>
    <n v="1370"/>
    <n v="72"/>
    <n v="15"/>
  </r>
  <r>
    <x v="7"/>
    <x v="3"/>
    <x v="6"/>
    <x v="4"/>
    <n v="11628"/>
    <n v="6393"/>
    <n v="5235"/>
    <n v="97"/>
    <n v="57"/>
  </r>
  <r>
    <x v="7"/>
    <x v="1"/>
    <x v="4"/>
    <x v="3"/>
    <n v="9022"/>
    <n v="6351"/>
    <n v="2671"/>
    <n v="53"/>
    <n v="26"/>
  </r>
  <r>
    <x v="7"/>
    <x v="0"/>
    <x v="0"/>
    <x v="3"/>
    <n v="2760"/>
    <n v="1454"/>
    <n v="1306"/>
    <n v="80"/>
    <n v="20"/>
  </r>
  <r>
    <x v="7"/>
    <x v="1"/>
    <x v="5"/>
    <x v="4"/>
    <n v="10944"/>
    <n v="8608"/>
    <n v="2336"/>
    <n v="73"/>
    <n v="24"/>
  </r>
  <r>
    <x v="7"/>
    <x v="1"/>
    <x v="4"/>
    <x v="0"/>
    <n v="3504"/>
    <n v="1787"/>
    <n v="1717"/>
    <n v="87"/>
    <n v="12"/>
  </r>
  <r>
    <x v="7"/>
    <x v="1"/>
    <x v="2"/>
    <x v="4"/>
    <n v="4320"/>
    <n v="2783"/>
    <n v="1537"/>
    <n v="94"/>
    <n v="32"/>
  </r>
  <r>
    <x v="7"/>
    <x v="0"/>
    <x v="1"/>
    <x v="4"/>
    <n v="19465"/>
    <n v="10804"/>
    <n v="8661"/>
    <n v="87"/>
    <n v="85"/>
  </r>
  <r>
    <x v="7"/>
    <x v="1"/>
    <x v="4"/>
    <x v="0"/>
    <n v="6468"/>
    <n v="4053"/>
    <n v="2415"/>
    <n v="78"/>
    <n v="42"/>
  </r>
  <r>
    <x v="7"/>
    <x v="1"/>
    <x v="2"/>
    <x v="3"/>
    <n v="5010"/>
    <n v="2860"/>
    <n v="2150"/>
    <n v="93"/>
    <n v="30"/>
  </r>
  <r>
    <x v="7"/>
    <x v="1"/>
    <x v="5"/>
    <x v="2"/>
    <n v="15800"/>
    <n v="9456"/>
    <n v="6344"/>
    <n v="67"/>
    <n v="40"/>
  </r>
  <r>
    <x v="7"/>
    <x v="0"/>
    <x v="0"/>
    <x v="3"/>
    <n v="6984"/>
    <n v="4094"/>
    <n v="2890"/>
    <n v="41"/>
    <n v="36"/>
  </r>
  <r>
    <x v="7"/>
    <x v="3"/>
    <x v="6"/>
    <x v="0"/>
    <n v="31725"/>
    <n v="24252"/>
    <n v="7473"/>
    <n v="86"/>
    <n v="75"/>
  </r>
  <r>
    <x v="7"/>
    <x v="0"/>
    <x v="0"/>
    <x v="2"/>
    <n v="47100"/>
    <n v="31186"/>
    <n v="15914"/>
    <n v="104"/>
    <n v="100"/>
  </r>
  <r>
    <x v="7"/>
    <x v="3"/>
    <x v="6"/>
    <x v="1"/>
    <n v="4080"/>
    <n v="2941"/>
    <n v="1139"/>
    <n v="80"/>
    <n v="24"/>
  </r>
  <r>
    <x v="7"/>
    <x v="3"/>
    <x v="6"/>
    <x v="4"/>
    <n v="5610"/>
    <n v="3760"/>
    <n v="1850"/>
    <n v="22"/>
    <n v="17"/>
  </r>
  <r>
    <x v="7"/>
    <x v="1"/>
    <x v="2"/>
    <x v="1"/>
    <n v="4428"/>
    <n v="3032"/>
    <n v="1396"/>
    <n v="46"/>
    <n v="36"/>
  </r>
  <r>
    <x v="7"/>
    <x v="1"/>
    <x v="4"/>
    <x v="1"/>
    <n v="20240"/>
    <n v="10418"/>
    <n v="9822"/>
    <n v="86"/>
    <n v="44"/>
  </r>
  <r>
    <x v="7"/>
    <x v="1"/>
    <x v="4"/>
    <x v="1"/>
    <n v="19520"/>
    <n v="9839"/>
    <n v="9681"/>
    <n v="80"/>
    <n v="64"/>
  </r>
  <r>
    <x v="7"/>
    <x v="1"/>
    <x v="2"/>
    <x v="2"/>
    <n v="15504"/>
    <n v="10080"/>
    <n v="5424"/>
    <n v="86"/>
    <n v="68"/>
  </r>
  <r>
    <x v="7"/>
    <x v="0"/>
    <x v="0"/>
    <x v="3"/>
    <n v="17290"/>
    <n v="12947"/>
    <n v="4343"/>
    <n v="49"/>
    <n v="38"/>
  </r>
  <r>
    <x v="7"/>
    <x v="1"/>
    <x v="2"/>
    <x v="2"/>
    <n v="34160"/>
    <n v="19315"/>
    <n v="14845"/>
    <n v="95"/>
    <n v="70"/>
  </r>
  <r>
    <x v="7"/>
    <x v="3"/>
    <x v="6"/>
    <x v="0"/>
    <n v="7992"/>
    <n v="6103"/>
    <n v="1889"/>
    <n v="29"/>
    <n v="18"/>
  </r>
  <r>
    <x v="7"/>
    <x v="3"/>
    <x v="6"/>
    <x v="3"/>
    <n v="33234"/>
    <n v="18516"/>
    <n v="14718"/>
    <n v="89"/>
    <n v="87"/>
  </r>
  <r>
    <x v="7"/>
    <x v="1"/>
    <x v="5"/>
    <x v="2"/>
    <n v="11648"/>
    <n v="7430"/>
    <n v="4218"/>
    <n v="35"/>
    <n v="28"/>
  </r>
  <r>
    <x v="7"/>
    <x v="0"/>
    <x v="1"/>
    <x v="0"/>
    <n v="34240"/>
    <n v="18760"/>
    <n v="15480"/>
    <n v="80"/>
    <n v="80"/>
  </r>
  <r>
    <x v="7"/>
    <x v="2"/>
    <x v="3"/>
    <x v="4"/>
    <n v="5236"/>
    <n v="2740"/>
    <n v="2496"/>
    <n v="32"/>
    <n v="28"/>
  </r>
  <r>
    <x v="7"/>
    <x v="1"/>
    <x v="2"/>
    <x v="2"/>
    <n v="4140"/>
    <n v="3238"/>
    <n v="902"/>
    <n v="65"/>
    <n v="23"/>
  </r>
  <r>
    <x v="8"/>
    <x v="1"/>
    <x v="2"/>
    <x v="1"/>
    <n v="5292"/>
    <n v="3595"/>
    <n v="1697"/>
    <n v="74"/>
    <n v="28"/>
  </r>
  <r>
    <x v="8"/>
    <x v="2"/>
    <x v="3"/>
    <x v="4"/>
    <n v="14337"/>
    <n v="9377"/>
    <n v="4960"/>
    <n v="120"/>
    <n v="81"/>
  </r>
  <r>
    <x v="8"/>
    <x v="0"/>
    <x v="1"/>
    <x v="1"/>
    <n v="15975"/>
    <n v="10899"/>
    <n v="5076"/>
    <n v="46"/>
    <n v="45"/>
  </r>
  <r>
    <x v="8"/>
    <x v="0"/>
    <x v="0"/>
    <x v="0"/>
    <n v="3230"/>
    <n v="2417"/>
    <n v="813"/>
    <n v="57"/>
    <n v="17"/>
  </r>
  <r>
    <x v="8"/>
    <x v="1"/>
    <x v="2"/>
    <x v="1"/>
    <n v="16728"/>
    <n v="12330"/>
    <n v="4398"/>
    <n v="99"/>
    <n v="41"/>
  </r>
  <r>
    <x v="8"/>
    <x v="3"/>
    <x v="6"/>
    <x v="3"/>
    <n v="4104"/>
    <n v="2379"/>
    <n v="1725"/>
    <n v="71"/>
    <n v="19"/>
  </r>
  <r>
    <x v="8"/>
    <x v="0"/>
    <x v="0"/>
    <x v="0"/>
    <n v="16558"/>
    <n v="11094"/>
    <n v="5464"/>
    <n v="41"/>
    <n v="34"/>
  </r>
  <r>
    <x v="8"/>
    <x v="2"/>
    <x v="3"/>
    <x v="0"/>
    <n v="8990"/>
    <n v="5422"/>
    <n v="3568"/>
    <n v="85"/>
    <n v="62"/>
  </r>
  <r>
    <x v="8"/>
    <x v="1"/>
    <x v="4"/>
    <x v="0"/>
    <n v="13330"/>
    <n v="8763"/>
    <n v="4567"/>
    <n v="61"/>
    <n v="43"/>
  </r>
  <r>
    <x v="8"/>
    <x v="0"/>
    <x v="1"/>
    <x v="4"/>
    <n v="3843"/>
    <n v="1935"/>
    <n v="1908"/>
    <n v="30"/>
    <n v="21"/>
  </r>
  <r>
    <x v="8"/>
    <x v="1"/>
    <x v="5"/>
    <x v="2"/>
    <n v="1665"/>
    <n v="1304"/>
    <n v="361"/>
    <n v="35"/>
    <n v="15"/>
  </r>
  <r>
    <x v="8"/>
    <x v="1"/>
    <x v="4"/>
    <x v="3"/>
    <n v="7830"/>
    <n v="4423"/>
    <n v="3407"/>
    <n v="80"/>
    <n v="27"/>
  </r>
  <r>
    <x v="8"/>
    <x v="1"/>
    <x v="2"/>
    <x v="1"/>
    <n v="15963"/>
    <n v="9013"/>
    <n v="6950"/>
    <n v="63"/>
    <n v="51"/>
  </r>
  <r>
    <x v="8"/>
    <x v="2"/>
    <x v="3"/>
    <x v="4"/>
    <n v="4602"/>
    <n v="3552"/>
    <n v="1050"/>
    <n v="68"/>
    <n v="13"/>
  </r>
  <r>
    <x v="8"/>
    <x v="0"/>
    <x v="0"/>
    <x v="3"/>
    <n v="27864"/>
    <n v="14017"/>
    <n v="13847"/>
    <n v="114"/>
    <n v="81"/>
  </r>
  <r>
    <x v="8"/>
    <x v="0"/>
    <x v="0"/>
    <x v="2"/>
    <n v="4256"/>
    <n v="2509"/>
    <n v="1747"/>
    <n v="107"/>
    <n v="32"/>
  </r>
  <r>
    <x v="8"/>
    <x v="3"/>
    <x v="6"/>
    <x v="0"/>
    <n v="6613"/>
    <n v="4504"/>
    <n v="2109"/>
    <n v="92"/>
    <n v="17"/>
  </r>
  <r>
    <x v="8"/>
    <x v="0"/>
    <x v="1"/>
    <x v="4"/>
    <n v="20022"/>
    <n v="14008"/>
    <n v="6014"/>
    <n v="96"/>
    <n v="47"/>
  </r>
  <r>
    <x v="8"/>
    <x v="1"/>
    <x v="4"/>
    <x v="0"/>
    <n v="7506"/>
    <n v="3985"/>
    <n v="3521"/>
    <n v="35"/>
    <n v="18"/>
  </r>
  <r>
    <x v="8"/>
    <x v="1"/>
    <x v="2"/>
    <x v="1"/>
    <n v="6864"/>
    <n v="4453"/>
    <n v="2411"/>
    <n v="72"/>
    <n v="52"/>
  </r>
  <r>
    <x v="8"/>
    <x v="2"/>
    <x v="3"/>
    <x v="3"/>
    <n v="6570"/>
    <n v="4714"/>
    <n v="1856"/>
    <n v="119"/>
    <n v="45"/>
  </r>
  <r>
    <x v="8"/>
    <x v="0"/>
    <x v="0"/>
    <x v="2"/>
    <n v="14260"/>
    <n v="7341"/>
    <n v="6919"/>
    <n v="34"/>
    <n v="31"/>
  </r>
  <r>
    <x v="8"/>
    <x v="1"/>
    <x v="2"/>
    <x v="4"/>
    <n v="9130"/>
    <n v="6807"/>
    <n v="2323"/>
    <n v="63"/>
    <n v="55"/>
  </r>
  <r>
    <x v="8"/>
    <x v="1"/>
    <x v="4"/>
    <x v="2"/>
    <n v="7700"/>
    <n v="6098"/>
    <n v="1602"/>
    <n v="48"/>
    <n v="20"/>
  </r>
  <r>
    <x v="8"/>
    <x v="0"/>
    <x v="1"/>
    <x v="0"/>
    <n v="30828"/>
    <n v="15596"/>
    <n v="15232"/>
    <n v="109"/>
    <n v="84"/>
  </r>
  <r>
    <x v="8"/>
    <x v="1"/>
    <x v="2"/>
    <x v="2"/>
    <n v="3402"/>
    <n v="2284"/>
    <n v="1118"/>
    <n v="28"/>
    <n v="21"/>
  </r>
  <r>
    <x v="8"/>
    <x v="0"/>
    <x v="1"/>
    <x v="1"/>
    <n v="4272"/>
    <n v="2694"/>
    <n v="1578"/>
    <n v="54"/>
    <n v="16"/>
  </r>
  <r>
    <x v="8"/>
    <x v="1"/>
    <x v="2"/>
    <x v="0"/>
    <n v="5424"/>
    <n v="3636"/>
    <n v="1788"/>
    <n v="53"/>
    <n v="48"/>
  </r>
  <r>
    <x v="8"/>
    <x v="1"/>
    <x v="5"/>
    <x v="4"/>
    <n v="35036"/>
    <n v="18620"/>
    <n v="16416"/>
    <n v="104"/>
    <n v="76"/>
  </r>
  <r>
    <x v="8"/>
    <x v="1"/>
    <x v="5"/>
    <x v="2"/>
    <n v="39732"/>
    <n v="31521"/>
    <n v="8211"/>
    <n v="98"/>
    <n v="86"/>
  </r>
  <r>
    <x v="9"/>
    <x v="1"/>
    <x v="5"/>
    <x v="4"/>
    <n v="13398"/>
    <n v="7499"/>
    <n v="5899"/>
    <n v="44"/>
    <n v="33"/>
  </r>
  <r>
    <x v="9"/>
    <x v="1"/>
    <x v="5"/>
    <x v="4"/>
    <n v="16640"/>
    <n v="9256"/>
    <n v="7384"/>
    <n v="64"/>
    <n v="40"/>
  </r>
  <r>
    <x v="9"/>
    <x v="3"/>
    <x v="6"/>
    <x v="0"/>
    <n v="32120"/>
    <n v="18907"/>
    <n v="13213"/>
    <n v="112"/>
    <n v="110"/>
  </r>
  <r>
    <x v="9"/>
    <x v="2"/>
    <x v="3"/>
    <x v="0"/>
    <n v="9333"/>
    <n v="5205"/>
    <n v="4128"/>
    <n v="117"/>
    <n v="51"/>
  </r>
  <r>
    <x v="9"/>
    <x v="1"/>
    <x v="4"/>
    <x v="3"/>
    <n v="6253"/>
    <n v="4263"/>
    <n v="1990"/>
    <n v="97"/>
    <n v="37"/>
  </r>
  <r>
    <x v="9"/>
    <x v="1"/>
    <x v="4"/>
    <x v="0"/>
    <n v="1520"/>
    <n v="994"/>
    <n v="526"/>
    <n v="55"/>
    <n v="10"/>
  </r>
  <r>
    <x v="9"/>
    <x v="3"/>
    <x v="6"/>
    <x v="3"/>
    <n v="4760"/>
    <n v="3170"/>
    <n v="1590"/>
    <n v="97"/>
    <n v="10"/>
  </r>
  <r>
    <x v="9"/>
    <x v="1"/>
    <x v="5"/>
    <x v="0"/>
    <n v="36062"/>
    <n v="27599"/>
    <n v="8463"/>
    <n v="115"/>
    <n v="73"/>
  </r>
  <r>
    <x v="9"/>
    <x v="3"/>
    <x v="6"/>
    <x v="3"/>
    <n v="26854"/>
    <n v="16152"/>
    <n v="10702"/>
    <n v="97"/>
    <n v="58"/>
  </r>
  <r>
    <x v="9"/>
    <x v="3"/>
    <x v="6"/>
    <x v="0"/>
    <n v="7110"/>
    <n v="4357"/>
    <n v="2753"/>
    <n v="94"/>
    <n v="45"/>
  </r>
  <r>
    <x v="9"/>
    <x v="0"/>
    <x v="0"/>
    <x v="0"/>
    <n v="23985"/>
    <n v="13401"/>
    <n v="10584"/>
    <n v="105"/>
    <n v="65"/>
  </r>
  <r>
    <x v="9"/>
    <x v="0"/>
    <x v="1"/>
    <x v="1"/>
    <n v="17289"/>
    <n v="11070"/>
    <n v="6219"/>
    <n v="115"/>
    <n v="113"/>
  </r>
  <r>
    <x v="9"/>
    <x v="2"/>
    <x v="3"/>
    <x v="2"/>
    <n v="9246"/>
    <n v="6717"/>
    <n v="2529"/>
    <n v="57"/>
    <n v="46"/>
  </r>
  <r>
    <x v="9"/>
    <x v="1"/>
    <x v="5"/>
    <x v="4"/>
    <n v="1780"/>
    <n v="1029"/>
    <n v="751"/>
    <n v="26"/>
    <n v="10"/>
  </r>
  <r>
    <x v="9"/>
    <x v="1"/>
    <x v="2"/>
    <x v="3"/>
    <n v="6132"/>
    <n v="3598"/>
    <n v="2534"/>
    <n v="61"/>
    <n v="42"/>
  </r>
  <r>
    <x v="9"/>
    <x v="3"/>
    <x v="6"/>
    <x v="0"/>
    <n v="2610"/>
    <n v="1973"/>
    <n v="637"/>
    <n v="73"/>
    <n v="18"/>
  </r>
  <r>
    <x v="9"/>
    <x v="1"/>
    <x v="2"/>
    <x v="1"/>
    <n v="3300"/>
    <n v="1848"/>
    <n v="1452"/>
    <n v="100"/>
    <n v="10"/>
  </r>
  <r>
    <x v="9"/>
    <x v="3"/>
    <x v="6"/>
    <x v="0"/>
    <n v="4760"/>
    <n v="3124"/>
    <n v="1636"/>
    <n v="21"/>
    <n v="17"/>
  </r>
  <r>
    <x v="9"/>
    <x v="2"/>
    <x v="3"/>
    <x v="1"/>
    <n v="19366"/>
    <n v="10366"/>
    <n v="9000"/>
    <n v="91"/>
    <n v="46"/>
  </r>
  <r>
    <x v="9"/>
    <x v="1"/>
    <x v="5"/>
    <x v="3"/>
    <n v="35784"/>
    <n v="25440"/>
    <n v="10344"/>
    <n v="87"/>
    <n v="72"/>
  </r>
  <r>
    <x v="9"/>
    <x v="1"/>
    <x v="4"/>
    <x v="2"/>
    <n v="25714"/>
    <n v="16557"/>
    <n v="9157"/>
    <n v="91"/>
    <n v="86"/>
  </r>
  <r>
    <x v="9"/>
    <x v="1"/>
    <x v="5"/>
    <x v="3"/>
    <n v="7371"/>
    <n v="4686"/>
    <n v="2685"/>
    <n v="119"/>
    <n v="21"/>
  </r>
  <r>
    <x v="9"/>
    <x v="1"/>
    <x v="5"/>
    <x v="2"/>
    <n v="2337"/>
    <n v="1661"/>
    <n v="676"/>
    <n v="22"/>
    <n v="19"/>
  </r>
  <r>
    <x v="9"/>
    <x v="0"/>
    <x v="1"/>
    <x v="3"/>
    <n v="13040"/>
    <n v="9198"/>
    <n v="3842"/>
    <n v="96"/>
    <n v="80"/>
  </r>
  <r>
    <x v="9"/>
    <x v="0"/>
    <x v="0"/>
    <x v="2"/>
    <n v="8490"/>
    <n v="4862"/>
    <n v="3628"/>
    <n v="41"/>
    <n v="30"/>
  </r>
  <r>
    <x v="9"/>
    <x v="1"/>
    <x v="5"/>
    <x v="3"/>
    <n v="17600"/>
    <n v="11386"/>
    <n v="6214"/>
    <n v="96"/>
    <n v="80"/>
  </r>
  <r>
    <x v="9"/>
    <x v="0"/>
    <x v="0"/>
    <x v="4"/>
    <n v="4056"/>
    <n v="2917"/>
    <n v="1139"/>
    <n v="97"/>
    <n v="12"/>
  </r>
  <r>
    <x v="9"/>
    <x v="1"/>
    <x v="2"/>
    <x v="2"/>
    <n v="6474"/>
    <n v="4158"/>
    <n v="2316"/>
    <n v="53"/>
    <n v="26"/>
  </r>
  <r>
    <x v="9"/>
    <x v="2"/>
    <x v="3"/>
    <x v="0"/>
    <n v="25761"/>
    <n v="20280"/>
    <n v="5481"/>
    <n v="120"/>
    <n v="93"/>
  </r>
  <r>
    <x v="9"/>
    <x v="2"/>
    <x v="3"/>
    <x v="1"/>
    <n v="5060"/>
    <n v="2811"/>
    <n v="2249"/>
    <n v="99"/>
    <n v="46"/>
  </r>
  <r>
    <x v="9"/>
    <x v="1"/>
    <x v="2"/>
    <x v="3"/>
    <n v="5296"/>
    <n v="2914"/>
    <n v="2382"/>
    <n v="96"/>
    <n v="16"/>
  </r>
  <r>
    <x v="10"/>
    <x v="0"/>
    <x v="1"/>
    <x v="0"/>
    <n v="5290"/>
    <n v="2921"/>
    <n v="2369"/>
    <n v="43"/>
    <n v="23"/>
  </r>
  <r>
    <x v="10"/>
    <x v="1"/>
    <x v="5"/>
    <x v="2"/>
    <n v="4240"/>
    <n v="2990"/>
    <n v="1250"/>
    <n v="54"/>
    <n v="16"/>
  </r>
  <r>
    <x v="10"/>
    <x v="3"/>
    <x v="6"/>
    <x v="3"/>
    <n v="12096"/>
    <n v="9302"/>
    <n v="2794"/>
    <n v="73"/>
    <n v="32"/>
  </r>
  <r>
    <x v="10"/>
    <x v="0"/>
    <x v="0"/>
    <x v="1"/>
    <n v="10556"/>
    <n v="5713"/>
    <n v="4843"/>
    <n v="76"/>
    <n v="58"/>
  </r>
  <r>
    <x v="10"/>
    <x v="0"/>
    <x v="0"/>
    <x v="0"/>
    <n v="21056"/>
    <n v="16581"/>
    <n v="4475"/>
    <n v="99"/>
    <n v="64"/>
  </r>
  <r>
    <x v="10"/>
    <x v="3"/>
    <x v="6"/>
    <x v="1"/>
    <n v="36487"/>
    <n v="20299"/>
    <n v="16188"/>
    <n v="116"/>
    <n v="107"/>
  </r>
  <r>
    <x v="10"/>
    <x v="2"/>
    <x v="3"/>
    <x v="0"/>
    <n v="9114"/>
    <n v="5152"/>
    <n v="3962"/>
    <n v="48"/>
    <n v="21"/>
  </r>
  <r>
    <x v="10"/>
    <x v="2"/>
    <x v="3"/>
    <x v="3"/>
    <n v="3333"/>
    <n v="2118"/>
    <n v="1215"/>
    <n v="35"/>
    <n v="11"/>
  </r>
  <r>
    <x v="10"/>
    <x v="0"/>
    <x v="1"/>
    <x v="3"/>
    <n v="14364"/>
    <n v="7523"/>
    <n v="6841"/>
    <n v="84"/>
    <n v="42"/>
  </r>
  <r>
    <x v="10"/>
    <x v="1"/>
    <x v="2"/>
    <x v="2"/>
    <n v="5742"/>
    <n v="4213"/>
    <n v="1529"/>
    <n v="49"/>
    <n v="33"/>
  </r>
  <r>
    <x v="10"/>
    <x v="0"/>
    <x v="1"/>
    <x v="1"/>
    <n v="5292"/>
    <n v="3846"/>
    <n v="1446"/>
    <n v="59"/>
    <n v="42"/>
  </r>
  <r>
    <x v="10"/>
    <x v="3"/>
    <x v="6"/>
    <x v="0"/>
    <n v="8325"/>
    <n v="4940"/>
    <n v="3385"/>
    <n v="82"/>
    <n v="45"/>
  </r>
  <r>
    <x v="10"/>
    <x v="1"/>
    <x v="2"/>
    <x v="3"/>
    <n v="2240"/>
    <n v="1631"/>
    <n v="609"/>
    <n v="113"/>
    <n v="14"/>
  </r>
  <r>
    <x v="10"/>
    <x v="0"/>
    <x v="1"/>
    <x v="3"/>
    <n v="3523"/>
    <n v="2539"/>
    <n v="984"/>
    <n v="54"/>
    <n v="13"/>
  </r>
  <r>
    <x v="10"/>
    <x v="2"/>
    <x v="3"/>
    <x v="4"/>
    <n v="8132"/>
    <n v="6090"/>
    <n v="2042"/>
    <n v="58"/>
    <n v="38"/>
  </r>
  <r>
    <x v="10"/>
    <x v="0"/>
    <x v="0"/>
    <x v="1"/>
    <n v="18050"/>
    <n v="9159"/>
    <n v="8891"/>
    <n v="99"/>
    <n v="50"/>
  </r>
  <r>
    <x v="10"/>
    <x v="2"/>
    <x v="3"/>
    <x v="0"/>
    <n v="25080"/>
    <n v="13220"/>
    <n v="11860"/>
    <n v="67"/>
    <n v="66"/>
  </r>
  <r>
    <x v="10"/>
    <x v="1"/>
    <x v="2"/>
    <x v="2"/>
    <n v="7047"/>
    <n v="4342"/>
    <n v="2705"/>
    <n v="37"/>
    <n v="29"/>
  </r>
  <r>
    <x v="10"/>
    <x v="0"/>
    <x v="1"/>
    <x v="2"/>
    <n v="5916"/>
    <n v="4497"/>
    <n v="1419"/>
    <n v="20"/>
    <n v="12"/>
  </r>
  <r>
    <x v="10"/>
    <x v="0"/>
    <x v="0"/>
    <x v="1"/>
    <n v="15228"/>
    <n v="10021"/>
    <n v="5207"/>
    <n v="117"/>
    <n v="36"/>
  </r>
  <r>
    <x v="10"/>
    <x v="1"/>
    <x v="5"/>
    <x v="2"/>
    <n v="12096"/>
    <n v="8314"/>
    <n v="3782"/>
    <n v="119"/>
    <n v="84"/>
  </r>
  <r>
    <x v="10"/>
    <x v="1"/>
    <x v="4"/>
    <x v="2"/>
    <n v="4356"/>
    <n v="2369"/>
    <n v="1987"/>
    <n v="50"/>
    <n v="36"/>
  </r>
  <r>
    <x v="10"/>
    <x v="1"/>
    <x v="2"/>
    <x v="2"/>
    <n v="10098"/>
    <n v="7907"/>
    <n v="2191"/>
    <n v="48"/>
    <n v="33"/>
  </r>
  <r>
    <x v="10"/>
    <x v="0"/>
    <x v="0"/>
    <x v="3"/>
    <n v="5757"/>
    <n v="3644"/>
    <n v="2113"/>
    <n v="30"/>
    <n v="19"/>
  </r>
  <r>
    <x v="10"/>
    <x v="1"/>
    <x v="2"/>
    <x v="0"/>
    <n v="6240"/>
    <n v="4428"/>
    <n v="1812"/>
    <n v="88"/>
    <n v="40"/>
  </r>
  <r>
    <x v="10"/>
    <x v="1"/>
    <x v="4"/>
    <x v="1"/>
    <n v="46800"/>
    <n v="33654"/>
    <n v="13146"/>
    <n v="118"/>
    <n v="117"/>
  </r>
  <r>
    <x v="10"/>
    <x v="2"/>
    <x v="3"/>
    <x v="2"/>
    <n v="10363"/>
    <n v="5736"/>
    <n v="4627"/>
    <n v="73"/>
    <n v="43"/>
  </r>
  <r>
    <x v="10"/>
    <x v="0"/>
    <x v="0"/>
    <x v="0"/>
    <n v="8313"/>
    <n v="4340"/>
    <n v="3973"/>
    <n v="22"/>
    <n v="17"/>
  </r>
  <r>
    <x v="10"/>
    <x v="0"/>
    <x v="0"/>
    <x v="4"/>
    <n v="20855"/>
    <n v="15738"/>
    <n v="5117"/>
    <n v="58"/>
    <n v="43"/>
  </r>
  <r>
    <x v="10"/>
    <x v="1"/>
    <x v="2"/>
    <x v="3"/>
    <n v="1836"/>
    <n v="1444"/>
    <n v="392"/>
    <n v="20"/>
    <n v="17"/>
  </r>
  <r>
    <x v="11"/>
    <x v="2"/>
    <x v="3"/>
    <x v="3"/>
    <n v="12696"/>
    <n v="7298"/>
    <n v="5398"/>
    <n v="49"/>
    <n v="46"/>
  </r>
  <r>
    <x v="11"/>
    <x v="3"/>
    <x v="6"/>
    <x v="2"/>
    <n v="17584"/>
    <n v="14049"/>
    <n v="3535"/>
    <n v="75"/>
    <n v="56"/>
  </r>
  <r>
    <x v="11"/>
    <x v="2"/>
    <x v="3"/>
    <x v="0"/>
    <n v="3772"/>
    <n v="2788"/>
    <n v="984"/>
    <n v="50"/>
    <n v="23"/>
  </r>
  <r>
    <x v="11"/>
    <x v="1"/>
    <x v="5"/>
    <x v="4"/>
    <n v="13056"/>
    <n v="7925"/>
    <n v="5131"/>
    <n v="120"/>
    <n v="102"/>
  </r>
  <r>
    <x v="11"/>
    <x v="0"/>
    <x v="0"/>
    <x v="4"/>
    <n v="8405"/>
    <n v="4595"/>
    <n v="3810"/>
    <n v="73"/>
    <n v="41"/>
  </r>
  <r>
    <x v="11"/>
    <x v="1"/>
    <x v="4"/>
    <x v="4"/>
    <n v="8968"/>
    <n v="6101"/>
    <n v="2867"/>
    <n v="100"/>
    <n v="76"/>
  </r>
  <r>
    <x v="11"/>
    <x v="3"/>
    <x v="6"/>
    <x v="4"/>
    <n v="4050"/>
    <n v="2376"/>
    <n v="1674"/>
    <n v="21"/>
    <n v="10"/>
  </r>
  <r>
    <x v="11"/>
    <x v="0"/>
    <x v="1"/>
    <x v="3"/>
    <n v="7598"/>
    <n v="3973"/>
    <n v="3625"/>
    <n v="87"/>
    <n v="29"/>
  </r>
  <r>
    <x v="11"/>
    <x v="1"/>
    <x v="2"/>
    <x v="2"/>
    <n v="13040"/>
    <n v="9296"/>
    <n v="3744"/>
    <n v="80"/>
    <n v="40"/>
  </r>
  <r>
    <x v="11"/>
    <x v="1"/>
    <x v="4"/>
    <x v="4"/>
    <n v="28044"/>
    <n v="14575"/>
    <n v="13469"/>
    <n v="95"/>
    <n v="76"/>
  </r>
  <r>
    <x v="11"/>
    <x v="0"/>
    <x v="1"/>
    <x v="3"/>
    <n v="17355"/>
    <n v="13128"/>
    <n v="4227"/>
    <n v="104"/>
    <n v="65"/>
  </r>
  <r>
    <x v="11"/>
    <x v="0"/>
    <x v="1"/>
    <x v="4"/>
    <n v="13764"/>
    <n v="8032"/>
    <n v="5732"/>
    <n v="76"/>
    <n v="62"/>
  </r>
  <r>
    <x v="11"/>
    <x v="0"/>
    <x v="0"/>
    <x v="0"/>
    <n v="21018"/>
    <n v="16359"/>
    <n v="4659"/>
    <n v="79"/>
    <n v="62"/>
  </r>
  <r>
    <x v="11"/>
    <x v="1"/>
    <x v="2"/>
    <x v="3"/>
    <n v="10230"/>
    <n v="7990"/>
    <n v="2240"/>
    <n v="34"/>
    <n v="22"/>
  </r>
  <r>
    <x v="11"/>
    <x v="1"/>
    <x v="4"/>
    <x v="3"/>
    <n v="8424"/>
    <n v="5944"/>
    <n v="2480"/>
    <n v="89"/>
    <n v="24"/>
  </r>
  <r>
    <x v="11"/>
    <x v="1"/>
    <x v="4"/>
    <x v="0"/>
    <n v="5216"/>
    <n v="3375"/>
    <n v="1841"/>
    <n v="56"/>
    <n v="32"/>
  </r>
  <r>
    <x v="11"/>
    <x v="1"/>
    <x v="4"/>
    <x v="0"/>
    <n v="11850"/>
    <n v="8203"/>
    <n v="3647"/>
    <n v="53"/>
    <n v="50"/>
  </r>
  <r>
    <x v="11"/>
    <x v="3"/>
    <x v="6"/>
    <x v="1"/>
    <n v="1960"/>
    <n v="1366"/>
    <n v="594"/>
    <n v="29"/>
    <n v="10"/>
  </r>
  <r>
    <x v="11"/>
    <x v="3"/>
    <x v="6"/>
    <x v="2"/>
    <n v="10560"/>
    <n v="6231"/>
    <n v="4329"/>
    <n v="92"/>
    <n v="66"/>
  </r>
  <r>
    <x v="11"/>
    <x v="1"/>
    <x v="2"/>
    <x v="0"/>
    <n v="18032"/>
    <n v="10649"/>
    <n v="7383"/>
    <n v="50"/>
    <n v="46"/>
  </r>
  <r>
    <x v="11"/>
    <x v="3"/>
    <x v="6"/>
    <x v="2"/>
    <n v="5550"/>
    <n v="2891"/>
    <n v="2659"/>
    <n v="80"/>
    <n v="50"/>
  </r>
  <r>
    <x v="11"/>
    <x v="1"/>
    <x v="5"/>
    <x v="1"/>
    <n v="15824"/>
    <n v="10993"/>
    <n v="4831"/>
    <n v="96"/>
    <n v="92"/>
  </r>
  <r>
    <x v="11"/>
    <x v="0"/>
    <x v="1"/>
    <x v="4"/>
    <n v="8869"/>
    <n v="5870"/>
    <n v="2999"/>
    <n v="89"/>
    <n v="49"/>
  </r>
  <r>
    <x v="11"/>
    <x v="1"/>
    <x v="4"/>
    <x v="0"/>
    <n v="18216"/>
    <n v="12487"/>
    <n v="5729"/>
    <n v="74"/>
    <n v="69"/>
  </r>
  <r>
    <x v="11"/>
    <x v="3"/>
    <x v="6"/>
    <x v="3"/>
    <n v="10080"/>
    <n v="7437"/>
    <n v="2643"/>
    <n v="93"/>
    <n v="28"/>
  </r>
  <r>
    <x v="11"/>
    <x v="1"/>
    <x v="5"/>
    <x v="3"/>
    <n v="17080"/>
    <n v="12218"/>
    <n v="4862"/>
    <n v="97"/>
    <n v="35"/>
  </r>
  <r>
    <x v="11"/>
    <x v="3"/>
    <x v="6"/>
    <x v="0"/>
    <n v="6080"/>
    <n v="3826"/>
    <n v="2254"/>
    <n v="106"/>
    <n v="16"/>
  </r>
  <r>
    <x v="11"/>
    <x v="1"/>
    <x v="5"/>
    <x v="1"/>
    <n v="17616"/>
    <n v="14033"/>
    <n v="3583"/>
    <n v="88"/>
    <n v="48"/>
  </r>
  <r>
    <x v="11"/>
    <x v="0"/>
    <x v="0"/>
    <x v="1"/>
    <n v="12825"/>
    <n v="8105"/>
    <n v="4720"/>
    <n v="106"/>
    <n v="95"/>
  </r>
  <r>
    <x v="11"/>
    <x v="0"/>
    <x v="1"/>
    <x v="2"/>
    <n v="21982"/>
    <n v="15563"/>
    <n v="6419"/>
    <n v="120"/>
    <n v="5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FD6F6-6DDD-4436-B969-529B3F5A247F}" name="PT_StockFlow" cacheId="279" applyNumberFormats="0" applyBorderFormats="0" applyFontFormats="0" applyPatternFormats="0" applyAlignmentFormats="0" applyWidthHeightFormats="1" dataCaption="Values" showError="1" updatedVersion="8" minRefreshableVersion="3" showCalcMbrs="0" useAutoFormatting="1" itemPrintTitles="1" createdVersion="3" indent="0" compact="0" compactData="0" multipleFieldFilters="0" chartFormat="1">
  <location ref="T2:V16" firstHeaderRow="1" firstDataRow="2" firstDataCol="1"/>
  <pivotFields count="9"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tockIn" fld="7" baseField="0" baseItem="0" numFmtId="3"/>
    <dataField name="StockOut" fld="8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AE5B13-E439-41BD-B471-F8F2E7C4BF40}" name="PT_Supplier" cacheId="279" applyNumberFormats="0" applyBorderFormats="0" applyFontFormats="0" applyPatternFormats="0" applyAlignmentFormats="0" applyWidthHeightFormats="1" dataCaption="Values" showError="1" updatedVersion="8" minRefreshableVersion="3" showCalcMbrs="0" useAutoFormatting="1" itemPrintTitles="1" createdVersion="3" indent="0" compact="0" compactData="0" multipleFieldFilters="0" chartFormat="1">
  <location ref="P2:R9" firstHeaderRow="1" firstDataRow="2" firstDataCol="1"/>
  <pivotFields count="9"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compact="0" outline="0" showAll="0"/>
    <pivotField axis="axisRow" compact="0" outline="0" showAll="0">
      <items count="6">
        <item x="2"/>
        <item x="3"/>
        <item x="4"/>
        <item x="0"/>
        <item x="1"/>
        <item t="default"/>
      </items>
    </pivotField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Revenue" fld="4" baseField="0" baseItem="0" numFmtId="164"/>
    <dataField name="Total Profit" fld="5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39C0F5-414C-4AA5-A208-7244878BA15C}" name="PT_Product" cacheId="279" applyNumberFormats="0" applyBorderFormats="0" applyFontFormats="0" applyPatternFormats="0" applyAlignmentFormats="0" applyWidthHeightFormats="1" dataCaption="Values" showError="1" updatedVersion="8" minRefreshableVersion="3" showCalcMbrs="0" useAutoFormatting="1" itemPrintTitles="1" createdVersion="3" indent="0" compact="0" compactData="0" multipleFieldFilters="0" chartFormat="1">
  <location ref="K2:N11" firstHeaderRow="1" firstDataRow="2" firstDataCol="1"/>
  <pivotFields count="9"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axis="axisRow" compact="0" outline="0" showAll="0">
      <items count="8">
        <item x="4"/>
        <item x="6"/>
        <item x="3"/>
        <item x="0"/>
        <item x="2"/>
        <item x="5"/>
        <item x="1"/>
        <item t="default"/>
      </items>
    </pivotField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Revenue" fld="4" baseField="0" baseItem="0" numFmtId="164"/>
    <dataField name="Total Profit" fld="5" baseField="0" baseItem="0" numFmtId="164"/>
    <dataField name="UnitsSold" fld="8" baseField="0" baseItem="0" numFmtId="3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86E2EB-952A-4B39-AE3D-D8F850AF8376}" name="PT_Category" cacheId="279" applyNumberFormats="0" applyBorderFormats="0" applyFontFormats="0" applyPatternFormats="0" applyAlignmentFormats="0" applyWidthHeightFormats="1" dataCaption="Values" showError="1" updatedVersion="8" minRefreshableVersion="3" showCalcMbrs="0" useAutoFormatting="1" itemPrintTitles="1" createdVersion="3" indent="0" compact="0" compactData="0" multipleFieldFilters="0" chartFormat="1">
  <location ref="G2:I8" firstHeaderRow="1" firstDataRow="2" firstDataCol="1"/>
  <pivotFields count="9"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compact="0" outline="0" showAll="0">
      <items count="5">
        <item x="3"/>
        <item x="0"/>
        <item x="1"/>
        <item x="2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Revenue" fld="4" baseField="0" baseItem="0" numFmtId="164"/>
    <dataField name="Total Profit" fld="5" baseField="0" baseItem="0" numFmtId="16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AF898-5FC8-4E04-829F-F9DEC97076B6}" name="PT_Monthly" cacheId="279" applyNumberFormats="0" applyBorderFormats="0" applyFontFormats="0" applyPatternFormats="0" applyAlignmentFormats="0" applyWidthHeightFormats="1" dataCaption="Values" showError="1" updatedVersion="8" minRefreshableVersion="3" showCalcMbrs="0" useAutoFormatting="1" itemPrintTitles="1" createdVersion="3" indent="0" compact="0" compactData="0" multipleFieldFilters="0" chartFormat="2">
  <location ref="A2:E16" firstHeaderRow="1" firstDataRow="2" firstDataCol="1"/>
  <pivotFields count="9">
    <pivotField axis="axisRow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Revenue" fld="4" baseField="0" baseItem="0" numFmtId="164"/>
    <dataField name="Total Profit" fld="5" baseField="0" baseItem="0" numFmtId="164"/>
    <dataField name="Total Expenses" fld="6" baseField="0" baseItem="0" numFmtId="164"/>
    <dataField name="UnitsSold" fld="8" baseField="0" baseItem="0" numFmtId="3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927CD2-422C-424A-97D0-55392F6AA3E5}" name="Table1" displayName="Table1" ref="A1:G366" totalsRowShown="0" headerRowDxfId="2" headerRowBorderDxfId="3" tableBorderDxfId="4">
  <autoFilter ref="A1:G366" xr:uid="{33927CD2-422C-424A-97D0-55392F6AA3E5}"/>
  <tableColumns count="7">
    <tableColumn id="2" xr3:uid="{AFB1F10C-4FFF-4413-B4A4-21F2BC4C9108}" name="Month"/>
    <tableColumn id="4" xr3:uid="{0D7E4533-11E3-4A9E-A5B2-A80CF8078CD1}" name="Category"/>
    <tableColumn id="14" xr3:uid="{1CCD7A19-8697-48D6-9535-49B8CFDC076C}" name="Product"/>
    <tableColumn id="16" xr3:uid="{DC16917F-7269-4E95-884D-5D43623A7594}" name="Supplier"/>
    <tableColumn id="18" xr3:uid="{551CC39C-A95A-4B04-A9CA-9D6AFDE37ED1}" name="Revenue"/>
    <tableColumn id="17" xr3:uid="{14AD7C18-1D5A-4373-8D2C-5CE36B3CD5C1}" name="Profit"/>
    <tableColumn id="8" xr3:uid="{0B2D874D-9C09-4348-9776-9C205A119CB6}" name="Expenses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A354AC-D3E1-47CC-B3D6-E0A8A8909D19}" name="Table2" displayName="Table2" ref="H1:I366" totalsRowShown="0" headerRowDxfId="0" headerRowBorderDxfId="1">
  <autoFilter ref="H1:I366" xr:uid="{FCA354AC-D3E1-47CC-B3D6-E0A8A8909D19}"/>
  <tableColumns count="2">
    <tableColumn id="1" xr3:uid="{B68A3DE2-0CAA-4850-BA4E-7CCB1843E5E0}" name="Stock In"/>
    <tableColumn id="2" xr3:uid="{8744F04C-72F8-42F3-81E1-E4DCAA1161EC}" name="Stock Out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I366"/>
  <sheetViews>
    <sheetView topLeftCell="A73" workbookViewId="0">
      <selection activeCell="K13" sqref="K13"/>
    </sheetView>
  </sheetViews>
  <sheetFormatPr defaultRowHeight="14.4" x14ac:dyDescent="0.3"/>
  <cols>
    <col min="1" max="1" width="11.21875" bestFit="1" customWidth="1"/>
    <col min="2" max="2" width="13" bestFit="1" customWidth="1"/>
    <col min="3" max="3" width="12.21875" bestFit="1" customWidth="1"/>
    <col min="4" max="4" width="13.6640625" bestFit="1" customWidth="1"/>
    <col min="5" max="5" width="12.77734375" bestFit="1" customWidth="1"/>
    <col min="6" max="6" width="13.109375" bestFit="1" customWidth="1"/>
    <col min="8" max="8" width="12.33203125" bestFit="1" customWidth="1"/>
    <col min="9" max="9" width="11.109375" customWidth="1"/>
  </cols>
  <sheetData>
    <row r="1" spans="1:9" x14ac:dyDescent="0.3">
      <c r="A1" s="1" t="s">
        <v>0</v>
      </c>
      <c r="B1" s="1" t="s">
        <v>2</v>
      </c>
      <c r="C1" s="46" t="s">
        <v>1</v>
      </c>
      <c r="D1" s="46" t="s">
        <v>7</v>
      </c>
      <c r="E1" s="46" t="s">
        <v>5</v>
      </c>
      <c r="F1" s="46" t="s">
        <v>8</v>
      </c>
      <c r="G1" s="1" t="s">
        <v>6</v>
      </c>
      <c r="H1" s="1" t="s">
        <v>3</v>
      </c>
      <c r="I1" s="1" t="s">
        <v>4</v>
      </c>
    </row>
    <row r="2" spans="1:9" x14ac:dyDescent="0.3">
      <c r="A2" t="s">
        <v>9</v>
      </c>
      <c r="B2" t="s">
        <v>11</v>
      </c>
      <c r="C2" t="s">
        <v>10</v>
      </c>
      <c r="D2" t="s">
        <v>12</v>
      </c>
      <c r="E2">
        <v>5904</v>
      </c>
      <c r="F2">
        <v>4422</v>
      </c>
      <c r="G2">
        <v>1482</v>
      </c>
      <c r="H2">
        <v>61</v>
      </c>
      <c r="I2">
        <v>12</v>
      </c>
    </row>
    <row r="3" spans="1:9" x14ac:dyDescent="0.3">
      <c r="A3" t="s">
        <v>9</v>
      </c>
      <c r="B3" t="s">
        <v>11</v>
      </c>
      <c r="C3" t="s">
        <v>13</v>
      </c>
      <c r="D3" t="s">
        <v>14</v>
      </c>
      <c r="E3">
        <v>15930</v>
      </c>
      <c r="F3">
        <v>11251</v>
      </c>
      <c r="G3">
        <v>4679</v>
      </c>
      <c r="H3">
        <v>54</v>
      </c>
      <c r="I3">
        <v>45</v>
      </c>
    </row>
    <row r="4" spans="1:9" x14ac:dyDescent="0.3">
      <c r="A4" t="s">
        <v>9</v>
      </c>
      <c r="B4" t="s">
        <v>11</v>
      </c>
      <c r="C4" t="s">
        <v>10</v>
      </c>
      <c r="D4" t="s">
        <v>12</v>
      </c>
      <c r="E4">
        <v>34344</v>
      </c>
      <c r="F4">
        <v>19918</v>
      </c>
      <c r="G4">
        <v>14426</v>
      </c>
      <c r="H4">
        <v>118</v>
      </c>
      <c r="I4">
        <v>106</v>
      </c>
    </row>
    <row r="5" spans="1:9" x14ac:dyDescent="0.3">
      <c r="A5" t="s">
        <v>9</v>
      </c>
      <c r="B5" t="s">
        <v>16</v>
      </c>
      <c r="C5" t="s">
        <v>15</v>
      </c>
      <c r="D5" t="s">
        <v>14</v>
      </c>
      <c r="E5">
        <v>36400</v>
      </c>
      <c r="F5">
        <v>21581</v>
      </c>
      <c r="G5">
        <v>14819</v>
      </c>
      <c r="H5">
        <v>104</v>
      </c>
      <c r="I5">
        <v>100</v>
      </c>
    </row>
    <row r="6" spans="1:9" x14ac:dyDescent="0.3">
      <c r="A6" t="s">
        <v>9</v>
      </c>
      <c r="B6" t="s">
        <v>18</v>
      </c>
      <c r="C6" t="s">
        <v>17</v>
      </c>
      <c r="D6" t="s">
        <v>14</v>
      </c>
      <c r="E6">
        <v>8732</v>
      </c>
      <c r="F6">
        <v>6096</v>
      </c>
      <c r="G6">
        <v>2636</v>
      </c>
      <c r="H6">
        <v>72</v>
      </c>
      <c r="I6">
        <v>59</v>
      </c>
    </row>
    <row r="7" spans="1:9" x14ac:dyDescent="0.3">
      <c r="A7" t="s">
        <v>9</v>
      </c>
      <c r="B7" t="s">
        <v>16</v>
      </c>
      <c r="C7" t="s">
        <v>15</v>
      </c>
      <c r="D7" t="s">
        <v>14</v>
      </c>
      <c r="E7">
        <v>5652</v>
      </c>
      <c r="F7">
        <v>3930</v>
      </c>
      <c r="G7">
        <v>1722</v>
      </c>
      <c r="H7">
        <v>55</v>
      </c>
      <c r="I7">
        <v>18</v>
      </c>
    </row>
    <row r="8" spans="1:9" x14ac:dyDescent="0.3">
      <c r="A8" t="s">
        <v>9</v>
      </c>
      <c r="B8" t="s">
        <v>11</v>
      </c>
      <c r="C8" t="s">
        <v>10</v>
      </c>
      <c r="D8" t="s">
        <v>14</v>
      </c>
      <c r="E8">
        <v>43830</v>
      </c>
      <c r="F8">
        <v>30265</v>
      </c>
      <c r="G8">
        <v>13565</v>
      </c>
      <c r="H8">
        <v>99</v>
      </c>
      <c r="I8">
        <v>90</v>
      </c>
    </row>
    <row r="9" spans="1:9" x14ac:dyDescent="0.3">
      <c r="A9" t="s">
        <v>9</v>
      </c>
      <c r="B9" t="s">
        <v>18</v>
      </c>
      <c r="C9" t="s">
        <v>17</v>
      </c>
      <c r="D9" t="s">
        <v>19</v>
      </c>
      <c r="E9">
        <v>6487</v>
      </c>
      <c r="F9">
        <v>3301</v>
      </c>
      <c r="G9">
        <v>3186</v>
      </c>
      <c r="H9">
        <v>21</v>
      </c>
      <c r="I9">
        <v>13</v>
      </c>
    </row>
    <row r="10" spans="1:9" x14ac:dyDescent="0.3">
      <c r="A10" t="s">
        <v>9</v>
      </c>
      <c r="B10" t="s">
        <v>16</v>
      </c>
      <c r="C10" t="s">
        <v>20</v>
      </c>
      <c r="D10" t="s">
        <v>19</v>
      </c>
      <c r="E10">
        <v>5232</v>
      </c>
      <c r="F10">
        <v>3402</v>
      </c>
      <c r="G10">
        <v>1830</v>
      </c>
      <c r="H10">
        <v>113</v>
      </c>
      <c r="I10">
        <v>16</v>
      </c>
    </row>
    <row r="11" spans="1:9" x14ac:dyDescent="0.3">
      <c r="A11" t="s">
        <v>9</v>
      </c>
      <c r="B11" t="s">
        <v>11</v>
      </c>
      <c r="C11" t="s">
        <v>10</v>
      </c>
      <c r="D11" t="s">
        <v>21</v>
      </c>
      <c r="E11">
        <v>8946</v>
      </c>
      <c r="F11">
        <v>6523</v>
      </c>
      <c r="G11">
        <v>2423</v>
      </c>
      <c r="H11">
        <v>71</v>
      </c>
      <c r="I11">
        <v>18</v>
      </c>
    </row>
    <row r="12" spans="1:9" x14ac:dyDescent="0.3">
      <c r="A12" t="s">
        <v>9</v>
      </c>
      <c r="B12" t="s">
        <v>16</v>
      </c>
      <c r="C12" t="s">
        <v>15</v>
      </c>
      <c r="D12" t="s">
        <v>19</v>
      </c>
      <c r="E12">
        <v>6878</v>
      </c>
      <c r="F12">
        <v>4776</v>
      </c>
      <c r="G12">
        <v>2102</v>
      </c>
      <c r="H12">
        <v>51</v>
      </c>
      <c r="I12">
        <v>19</v>
      </c>
    </row>
    <row r="13" spans="1:9" x14ac:dyDescent="0.3">
      <c r="A13" t="s">
        <v>9</v>
      </c>
      <c r="B13" t="s">
        <v>16</v>
      </c>
      <c r="C13" t="s">
        <v>22</v>
      </c>
      <c r="D13" t="s">
        <v>21</v>
      </c>
      <c r="E13">
        <v>9360</v>
      </c>
      <c r="F13">
        <v>5564</v>
      </c>
      <c r="G13">
        <v>3796</v>
      </c>
      <c r="H13">
        <v>91</v>
      </c>
      <c r="I13">
        <v>20</v>
      </c>
    </row>
    <row r="14" spans="1:9" x14ac:dyDescent="0.3">
      <c r="A14" t="s">
        <v>9</v>
      </c>
      <c r="B14" t="s">
        <v>16</v>
      </c>
      <c r="C14" t="s">
        <v>22</v>
      </c>
      <c r="D14" t="s">
        <v>21</v>
      </c>
      <c r="E14">
        <v>5076</v>
      </c>
      <c r="F14">
        <v>3598</v>
      </c>
      <c r="G14">
        <v>1478</v>
      </c>
      <c r="H14">
        <v>57</v>
      </c>
      <c r="I14">
        <v>36</v>
      </c>
    </row>
    <row r="15" spans="1:9" x14ac:dyDescent="0.3">
      <c r="A15" t="s">
        <v>9</v>
      </c>
      <c r="B15" t="s">
        <v>11</v>
      </c>
      <c r="C15" t="s">
        <v>10</v>
      </c>
      <c r="D15" t="s">
        <v>12</v>
      </c>
      <c r="E15">
        <v>15780</v>
      </c>
      <c r="F15">
        <v>10822</v>
      </c>
      <c r="G15">
        <v>4958</v>
      </c>
      <c r="H15">
        <v>62</v>
      </c>
      <c r="I15">
        <v>60</v>
      </c>
    </row>
    <row r="16" spans="1:9" x14ac:dyDescent="0.3">
      <c r="A16" t="s">
        <v>9</v>
      </c>
      <c r="B16" t="s">
        <v>11</v>
      </c>
      <c r="C16" t="s">
        <v>13</v>
      </c>
      <c r="D16" t="s">
        <v>12</v>
      </c>
      <c r="E16">
        <v>13140</v>
      </c>
      <c r="F16">
        <v>10375</v>
      </c>
      <c r="G16">
        <v>2765</v>
      </c>
      <c r="H16">
        <v>65</v>
      </c>
      <c r="I16">
        <v>30</v>
      </c>
    </row>
    <row r="17" spans="1:9" x14ac:dyDescent="0.3">
      <c r="A17" t="s">
        <v>9</v>
      </c>
      <c r="B17" t="s">
        <v>24</v>
      </c>
      <c r="C17" t="s">
        <v>23</v>
      </c>
      <c r="D17" t="s">
        <v>25</v>
      </c>
      <c r="E17">
        <v>7254</v>
      </c>
      <c r="F17">
        <v>4223</v>
      </c>
      <c r="G17">
        <v>3031</v>
      </c>
      <c r="H17">
        <v>67</v>
      </c>
      <c r="I17">
        <v>26</v>
      </c>
    </row>
    <row r="18" spans="1:9" x14ac:dyDescent="0.3">
      <c r="A18" t="s">
        <v>9</v>
      </c>
      <c r="B18" t="s">
        <v>11</v>
      </c>
      <c r="C18" t="s">
        <v>13</v>
      </c>
      <c r="D18" t="s">
        <v>25</v>
      </c>
      <c r="E18">
        <v>10488</v>
      </c>
      <c r="F18">
        <v>7878</v>
      </c>
      <c r="G18">
        <v>2610</v>
      </c>
      <c r="H18">
        <v>89</v>
      </c>
      <c r="I18">
        <v>23</v>
      </c>
    </row>
    <row r="19" spans="1:9" x14ac:dyDescent="0.3">
      <c r="A19" t="s">
        <v>9</v>
      </c>
      <c r="B19" t="s">
        <v>11</v>
      </c>
      <c r="C19" t="s">
        <v>13</v>
      </c>
      <c r="D19" t="s">
        <v>25</v>
      </c>
      <c r="E19">
        <v>29810</v>
      </c>
      <c r="F19">
        <v>23298</v>
      </c>
      <c r="G19">
        <v>6512</v>
      </c>
      <c r="H19">
        <v>114</v>
      </c>
      <c r="I19">
        <v>110</v>
      </c>
    </row>
    <row r="20" spans="1:9" x14ac:dyDescent="0.3">
      <c r="A20" t="s">
        <v>9</v>
      </c>
      <c r="B20" t="s">
        <v>18</v>
      </c>
      <c r="C20" t="s">
        <v>17</v>
      </c>
      <c r="D20" t="s">
        <v>25</v>
      </c>
      <c r="E20">
        <v>34578</v>
      </c>
      <c r="F20">
        <v>25359</v>
      </c>
      <c r="G20">
        <v>9219</v>
      </c>
      <c r="H20">
        <v>117</v>
      </c>
      <c r="I20">
        <v>113</v>
      </c>
    </row>
    <row r="21" spans="1:9" x14ac:dyDescent="0.3">
      <c r="A21" t="s">
        <v>9</v>
      </c>
      <c r="B21" t="s">
        <v>16</v>
      </c>
      <c r="C21" t="s">
        <v>15</v>
      </c>
      <c r="D21" t="s">
        <v>21</v>
      </c>
      <c r="E21">
        <v>24992</v>
      </c>
      <c r="F21">
        <v>15909</v>
      </c>
      <c r="G21">
        <v>9083</v>
      </c>
      <c r="H21">
        <v>112</v>
      </c>
      <c r="I21">
        <v>71</v>
      </c>
    </row>
    <row r="22" spans="1:9" x14ac:dyDescent="0.3">
      <c r="A22" t="s">
        <v>9</v>
      </c>
      <c r="B22" t="s">
        <v>11</v>
      </c>
      <c r="C22" t="s">
        <v>13</v>
      </c>
      <c r="D22" t="s">
        <v>12</v>
      </c>
      <c r="E22">
        <v>27336</v>
      </c>
      <c r="F22">
        <v>15991</v>
      </c>
      <c r="G22">
        <v>11345</v>
      </c>
      <c r="H22">
        <v>78</v>
      </c>
      <c r="I22">
        <v>68</v>
      </c>
    </row>
    <row r="23" spans="1:9" x14ac:dyDescent="0.3">
      <c r="A23" t="s">
        <v>9</v>
      </c>
      <c r="B23" t="s">
        <v>18</v>
      </c>
      <c r="C23" t="s">
        <v>17</v>
      </c>
      <c r="D23" t="s">
        <v>19</v>
      </c>
      <c r="E23">
        <v>9741</v>
      </c>
      <c r="F23">
        <v>5330</v>
      </c>
      <c r="G23">
        <v>4411</v>
      </c>
      <c r="H23">
        <v>59</v>
      </c>
      <c r="I23">
        <v>51</v>
      </c>
    </row>
    <row r="24" spans="1:9" x14ac:dyDescent="0.3">
      <c r="A24" t="s">
        <v>9</v>
      </c>
      <c r="B24" t="s">
        <v>24</v>
      </c>
      <c r="C24" t="s">
        <v>23</v>
      </c>
      <c r="D24" t="s">
        <v>12</v>
      </c>
      <c r="E24">
        <v>6440</v>
      </c>
      <c r="F24">
        <v>5120</v>
      </c>
      <c r="G24">
        <v>1320</v>
      </c>
      <c r="H24">
        <v>70</v>
      </c>
      <c r="I24">
        <v>28</v>
      </c>
    </row>
    <row r="25" spans="1:9" x14ac:dyDescent="0.3">
      <c r="A25" t="s">
        <v>9</v>
      </c>
      <c r="B25" t="s">
        <v>18</v>
      </c>
      <c r="C25" t="s">
        <v>17</v>
      </c>
      <c r="D25" t="s">
        <v>25</v>
      </c>
      <c r="E25">
        <v>8382</v>
      </c>
      <c r="F25">
        <v>6276</v>
      </c>
      <c r="G25">
        <v>2106</v>
      </c>
      <c r="H25">
        <v>30</v>
      </c>
      <c r="I25">
        <v>22</v>
      </c>
    </row>
    <row r="26" spans="1:9" x14ac:dyDescent="0.3">
      <c r="A26" t="s">
        <v>9</v>
      </c>
      <c r="B26" t="s">
        <v>24</v>
      </c>
      <c r="C26" t="s">
        <v>23</v>
      </c>
      <c r="D26" t="s">
        <v>21</v>
      </c>
      <c r="E26">
        <v>1950</v>
      </c>
      <c r="F26">
        <v>1393</v>
      </c>
      <c r="G26">
        <v>557</v>
      </c>
      <c r="H26">
        <v>44</v>
      </c>
      <c r="I26">
        <v>15</v>
      </c>
    </row>
    <row r="27" spans="1:9" x14ac:dyDescent="0.3">
      <c r="A27" t="s">
        <v>9</v>
      </c>
      <c r="B27" t="s">
        <v>24</v>
      </c>
      <c r="C27" t="s">
        <v>23</v>
      </c>
      <c r="D27" t="s">
        <v>21</v>
      </c>
      <c r="E27">
        <v>11760</v>
      </c>
      <c r="F27">
        <v>8571</v>
      </c>
      <c r="G27">
        <v>3189</v>
      </c>
      <c r="H27">
        <v>65</v>
      </c>
      <c r="I27">
        <v>60</v>
      </c>
    </row>
    <row r="28" spans="1:9" x14ac:dyDescent="0.3">
      <c r="A28" t="s">
        <v>9</v>
      </c>
      <c r="B28" t="s">
        <v>16</v>
      </c>
      <c r="C28" t="s">
        <v>20</v>
      </c>
      <c r="D28" t="s">
        <v>14</v>
      </c>
      <c r="E28">
        <v>3040</v>
      </c>
      <c r="F28">
        <v>1655</v>
      </c>
      <c r="G28">
        <v>1385</v>
      </c>
      <c r="H28">
        <v>39</v>
      </c>
      <c r="I28">
        <v>16</v>
      </c>
    </row>
    <row r="29" spans="1:9" x14ac:dyDescent="0.3">
      <c r="A29" t="s">
        <v>9</v>
      </c>
      <c r="B29" t="s">
        <v>11</v>
      </c>
      <c r="C29" t="s">
        <v>13</v>
      </c>
      <c r="D29" t="s">
        <v>14</v>
      </c>
      <c r="E29">
        <v>22000</v>
      </c>
      <c r="F29">
        <v>15099</v>
      </c>
      <c r="G29">
        <v>6901</v>
      </c>
      <c r="H29">
        <v>52</v>
      </c>
      <c r="I29">
        <v>50</v>
      </c>
    </row>
    <row r="30" spans="1:9" x14ac:dyDescent="0.3">
      <c r="A30" t="s">
        <v>9</v>
      </c>
      <c r="B30" t="s">
        <v>24</v>
      </c>
      <c r="C30" t="s">
        <v>23</v>
      </c>
      <c r="D30" t="s">
        <v>21</v>
      </c>
      <c r="E30">
        <v>31160</v>
      </c>
      <c r="F30">
        <v>23921</v>
      </c>
      <c r="G30">
        <v>7239</v>
      </c>
      <c r="H30">
        <v>116</v>
      </c>
      <c r="I30">
        <v>82</v>
      </c>
    </row>
    <row r="31" spans="1:9" x14ac:dyDescent="0.3">
      <c r="A31" t="s">
        <v>9</v>
      </c>
      <c r="B31" t="s">
        <v>24</v>
      </c>
      <c r="C31" t="s">
        <v>23</v>
      </c>
      <c r="D31" t="s">
        <v>21</v>
      </c>
      <c r="E31">
        <v>3379</v>
      </c>
      <c r="F31">
        <v>2271</v>
      </c>
      <c r="G31">
        <v>1108</v>
      </c>
      <c r="H31">
        <v>107</v>
      </c>
      <c r="I31">
        <v>31</v>
      </c>
    </row>
    <row r="32" spans="1:9" x14ac:dyDescent="0.3">
      <c r="A32" t="s">
        <v>9</v>
      </c>
      <c r="B32" t="s">
        <v>24</v>
      </c>
      <c r="C32" t="s">
        <v>23</v>
      </c>
      <c r="D32" t="s">
        <v>12</v>
      </c>
      <c r="E32">
        <v>33184</v>
      </c>
      <c r="F32">
        <v>23225</v>
      </c>
      <c r="G32">
        <v>9959</v>
      </c>
      <c r="H32">
        <v>102</v>
      </c>
      <c r="I32">
        <v>68</v>
      </c>
    </row>
    <row r="33" spans="1:9" x14ac:dyDescent="0.3">
      <c r="A33" t="s">
        <v>26</v>
      </c>
      <c r="B33" t="s">
        <v>11</v>
      </c>
      <c r="C33" t="s">
        <v>10</v>
      </c>
      <c r="D33" t="s">
        <v>12</v>
      </c>
      <c r="E33">
        <v>11456</v>
      </c>
      <c r="F33">
        <v>8735</v>
      </c>
      <c r="G33">
        <v>2721</v>
      </c>
      <c r="H33">
        <v>55</v>
      </c>
      <c r="I33">
        <v>32</v>
      </c>
    </row>
    <row r="34" spans="1:9" x14ac:dyDescent="0.3">
      <c r="A34" t="s">
        <v>26</v>
      </c>
      <c r="B34" t="s">
        <v>16</v>
      </c>
      <c r="C34" t="s">
        <v>15</v>
      </c>
      <c r="D34" t="s">
        <v>25</v>
      </c>
      <c r="E34">
        <v>9728</v>
      </c>
      <c r="F34">
        <v>5327</v>
      </c>
      <c r="G34">
        <v>4401</v>
      </c>
      <c r="H34">
        <v>113</v>
      </c>
      <c r="I34">
        <v>32</v>
      </c>
    </row>
    <row r="35" spans="1:9" x14ac:dyDescent="0.3">
      <c r="A35" t="s">
        <v>26</v>
      </c>
      <c r="B35" t="s">
        <v>16</v>
      </c>
      <c r="C35" t="s">
        <v>22</v>
      </c>
      <c r="D35" t="s">
        <v>21</v>
      </c>
      <c r="E35">
        <v>1133</v>
      </c>
      <c r="F35">
        <v>871</v>
      </c>
      <c r="G35">
        <v>262</v>
      </c>
      <c r="H35">
        <v>37</v>
      </c>
      <c r="I35">
        <v>11</v>
      </c>
    </row>
    <row r="36" spans="1:9" x14ac:dyDescent="0.3">
      <c r="A36" t="s">
        <v>26</v>
      </c>
      <c r="B36" t="s">
        <v>11</v>
      </c>
      <c r="C36" t="s">
        <v>13</v>
      </c>
      <c r="D36" t="s">
        <v>21</v>
      </c>
      <c r="E36">
        <v>1326</v>
      </c>
      <c r="F36">
        <v>994</v>
      </c>
      <c r="G36">
        <v>332</v>
      </c>
      <c r="H36">
        <v>37</v>
      </c>
      <c r="I36">
        <v>13</v>
      </c>
    </row>
    <row r="37" spans="1:9" x14ac:dyDescent="0.3">
      <c r="A37" t="s">
        <v>26</v>
      </c>
      <c r="B37" t="s">
        <v>11</v>
      </c>
      <c r="C37" t="s">
        <v>13</v>
      </c>
      <c r="D37" t="s">
        <v>19</v>
      </c>
      <c r="E37">
        <v>9570</v>
      </c>
      <c r="F37">
        <v>6868</v>
      </c>
      <c r="G37">
        <v>2702</v>
      </c>
      <c r="H37">
        <v>94</v>
      </c>
      <c r="I37">
        <v>22</v>
      </c>
    </row>
    <row r="38" spans="1:9" x14ac:dyDescent="0.3">
      <c r="A38" t="s">
        <v>26</v>
      </c>
      <c r="B38" t="s">
        <v>11</v>
      </c>
      <c r="C38" t="s">
        <v>10</v>
      </c>
      <c r="D38" t="s">
        <v>21</v>
      </c>
      <c r="E38">
        <v>5632</v>
      </c>
      <c r="F38">
        <v>4400</v>
      </c>
      <c r="G38">
        <v>1232</v>
      </c>
      <c r="H38">
        <v>58</v>
      </c>
      <c r="I38">
        <v>32</v>
      </c>
    </row>
    <row r="39" spans="1:9" x14ac:dyDescent="0.3">
      <c r="A39" t="s">
        <v>26</v>
      </c>
      <c r="B39" t="s">
        <v>11</v>
      </c>
      <c r="C39" t="s">
        <v>10</v>
      </c>
      <c r="D39" t="s">
        <v>21</v>
      </c>
      <c r="E39">
        <v>19552</v>
      </c>
      <c r="F39">
        <v>11299</v>
      </c>
      <c r="G39">
        <v>8253</v>
      </c>
      <c r="H39">
        <v>104</v>
      </c>
      <c r="I39">
        <v>52</v>
      </c>
    </row>
    <row r="40" spans="1:9" x14ac:dyDescent="0.3">
      <c r="A40" t="s">
        <v>26</v>
      </c>
      <c r="B40" t="s">
        <v>24</v>
      </c>
      <c r="C40" t="s">
        <v>23</v>
      </c>
      <c r="D40" t="s">
        <v>21</v>
      </c>
      <c r="E40">
        <v>5964</v>
      </c>
      <c r="F40">
        <v>4135</v>
      </c>
      <c r="G40">
        <v>1829</v>
      </c>
      <c r="H40">
        <v>29</v>
      </c>
      <c r="I40">
        <v>14</v>
      </c>
    </row>
    <row r="41" spans="1:9" x14ac:dyDescent="0.3">
      <c r="A41" t="s">
        <v>26</v>
      </c>
      <c r="B41" t="s">
        <v>11</v>
      </c>
      <c r="C41" t="s">
        <v>10</v>
      </c>
      <c r="D41" t="s">
        <v>12</v>
      </c>
      <c r="E41">
        <v>2805</v>
      </c>
      <c r="F41">
        <v>1919</v>
      </c>
      <c r="G41">
        <v>886</v>
      </c>
      <c r="H41">
        <v>30</v>
      </c>
      <c r="I41">
        <v>17</v>
      </c>
    </row>
    <row r="42" spans="1:9" x14ac:dyDescent="0.3">
      <c r="A42" t="s">
        <v>26</v>
      </c>
      <c r="B42" t="s">
        <v>11</v>
      </c>
      <c r="C42" t="s">
        <v>10</v>
      </c>
      <c r="D42" t="s">
        <v>21</v>
      </c>
      <c r="E42">
        <v>34706</v>
      </c>
      <c r="F42">
        <v>25765</v>
      </c>
      <c r="G42">
        <v>8941</v>
      </c>
      <c r="H42">
        <v>109</v>
      </c>
      <c r="I42">
        <v>74</v>
      </c>
    </row>
    <row r="43" spans="1:9" x14ac:dyDescent="0.3">
      <c r="A43" t="s">
        <v>26</v>
      </c>
      <c r="B43" t="s">
        <v>24</v>
      </c>
      <c r="C43" t="s">
        <v>23</v>
      </c>
      <c r="D43" t="s">
        <v>19</v>
      </c>
      <c r="E43">
        <v>19872</v>
      </c>
      <c r="F43">
        <v>11401</v>
      </c>
      <c r="G43">
        <v>8471</v>
      </c>
      <c r="H43">
        <v>89</v>
      </c>
      <c r="I43">
        <v>46</v>
      </c>
    </row>
    <row r="44" spans="1:9" x14ac:dyDescent="0.3">
      <c r="A44" t="s">
        <v>26</v>
      </c>
      <c r="B44" t="s">
        <v>16</v>
      </c>
      <c r="C44" t="s">
        <v>20</v>
      </c>
      <c r="D44" t="s">
        <v>21</v>
      </c>
      <c r="E44">
        <v>16128</v>
      </c>
      <c r="F44">
        <v>11118</v>
      </c>
      <c r="G44">
        <v>5010</v>
      </c>
      <c r="H44">
        <v>87</v>
      </c>
      <c r="I44">
        <v>63</v>
      </c>
    </row>
    <row r="45" spans="1:9" x14ac:dyDescent="0.3">
      <c r="A45" t="s">
        <v>26</v>
      </c>
      <c r="B45" t="s">
        <v>16</v>
      </c>
      <c r="C45" t="s">
        <v>15</v>
      </c>
      <c r="D45" t="s">
        <v>14</v>
      </c>
      <c r="E45">
        <v>5605</v>
      </c>
      <c r="F45">
        <v>4309</v>
      </c>
      <c r="G45">
        <v>1296</v>
      </c>
      <c r="H45">
        <v>78</v>
      </c>
      <c r="I45">
        <v>19</v>
      </c>
    </row>
    <row r="46" spans="1:9" x14ac:dyDescent="0.3">
      <c r="A46" t="s">
        <v>26</v>
      </c>
      <c r="B46" t="s">
        <v>16</v>
      </c>
      <c r="C46" t="s">
        <v>20</v>
      </c>
      <c r="D46" t="s">
        <v>14</v>
      </c>
      <c r="E46">
        <v>14880</v>
      </c>
      <c r="F46">
        <v>11099</v>
      </c>
      <c r="G46">
        <v>3781</v>
      </c>
      <c r="H46">
        <v>113</v>
      </c>
      <c r="I46">
        <v>96</v>
      </c>
    </row>
    <row r="47" spans="1:9" x14ac:dyDescent="0.3">
      <c r="A47" t="s">
        <v>26</v>
      </c>
      <c r="B47" t="s">
        <v>24</v>
      </c>
      <c r="C47" t="s">
        <v>23</v>
      </c>
      <c r="D47" t="s">
        <v>25</v>
      </c>
      <c r="E47">
        <v>4920</v>
      </c>
      <c r="F47">
        <v>3382</v>
      </c>
      <c r="G47">
        <v>1538</v>
      </c>
      <c r="H47">
        <v>40</v>
      </c>
      <c r="I47">
        <v>15</v>
      </c>
    </row>
    <row r="48" spans="1:9" x14ac:dyDescent="0.3">
      <c r="A48" t="s">
        <v>26</v>
      </c>
      <c r="B48" t="s">
        <v>16</v>
      </c>
      <c r="C48" t="s">
        <v>15</v>
      </c>
      <c r="D48" t="s">
        <v>14</v>
      </c>
      <c r="E48">
        <v>36366</v>
      </c>
      <c r="F48">
        <v>26342</v>
      </c>
      <c r="G48">
        <v>10024</v>
      </c>
      <c r="H48">
        <v>109</v>
      </c>
      <c r="I48">
        <v>87</v>
      </c>
    </row>
    <row r="49" spans="1:9" x14ac:dyDescent="0.3">
      <c r="A49" t="s">
        <v>26</v>
      </c>
      <c r="B49" t="s">
        <v>16</v>
      </c>
      <c r="C49" t="s">
        <v>20</v>
      </c>
      <c r="D49" t="s">
        <v>12</v>
      </c>
      <c r="E49">
        <v>5240</v>
      </c>
      <c r="F49">
        <v>2846</v>
      </c>
      <c r="G49">
        <v>2394</v>
      </c>
      <c r="H49">
        <v>105</v>
      </c>
      <c r="I49">
        <v>20</v>
      </c>
    </row>
    <row r="50" spans="1:9" x14ac:dyDescent="0.3">
      <c r="A50" t="s">
        <v>26</v>
      </c>
      <c r="B50" t="s">
        <v>16</v>
      </c>
      <c r="C50" t="s">
        <v>15</v>
      </c>
      <c r="D50" t="s">
        <v>12</v>
      </c>
      <c r="E50">
        <v>6700</v>
      </c>
      <c r="F50">
        <v>3889</v>
      </c>
      <c r="G50">
        <v>2811</v>
      </c>
      <c r="H50">
        <v>21</v>
      </c>
      <c r="I50">
        <v>20</v>
      </c>
    </row>
    <row r="51" spans="1:9" x14ac:dyDescent="0.3">
      <c r="A51" t="s">
        <v>26</v>
      </c>
      <c r="B51" t="s">
        <v>16</v>
      </c>
      <c r="C51" t="s">
        <v>20</v>
      </c>
      <c r="D51" t="s">
        <v>19</v>
      </c>
      <c r="E51">
        <v>36575</v>
      </c>
      <c r="F51">
        <v>23181</v>
      </c>
      <c r="G51">
        <v>13394</v>
      </c>
      <c r="H51">
        <v>110</v>
      </c>
      <c r="I51">
        <v>95</v>
      </c>
    </row>
    <row r="52" spans="1:9" x14ac:dyDescent="0.3">
      <c r="A52" t="s">
        <v>26</v>
      </c>
      <c r="B52" t="s">
        <v>18</v>
      </c>
      <c r="C52" t="s">
        <v>17</v>
      </c>
      <c r="D52" t="s">
        <v>14</v>
      </c>
      <c r="E52">
        <v>6642</v>
      </c>
      <c r="F52">
        <v>4311</v>
      </c>
      <c r="G52">
        <v>2331</v>
      </c>
      <c r="H52">
        <v>29</v>
      </c>
      <c r="I52">
        <v>27</v>
      </c>
    </row>
    <row r="53" spans="1:9" x14ac:dyDescent="0.3">
      <c r="A53" t="s">
        <v>26</v>
      </c>
      <c r="B53" t="s">
        <v>16</v>
      </c>
      <c r="C53" t="s">
        <v>22</v>
      </c>
      <c r="D53" t="s">
        <v>25</v>
      </c>
      <c r="E53">
        <v>4928</v>
      </c>
      <c r="F53">
        <v>3787</v>
      </c>
      <c r="G53">
        <v>1141</v>
      </c>
      <c r="H53">
        <v>71</v>
      </c>
      <c r="I53">
        <v>28</v>
      </c>
    </row>
    <row r="54" spans="1:9" x14ac:dyDescent="0.3">
      <c r="A54" t="s">
        <v>26</v>
      </c>
      <c r="B54" t="s">
        <v>16</v>
      </c>
      <c r="C54" t="s">
        <v>22</v>
      </c>
      <c r="D54" t="s">
        <v>14</v>
      </c>
      <c r="E54">
        <v>7198</v>
      </c>
      <c r="F54">
        <v>4444</v>
      </c>
      <c r="G54">
        <v>2754</v>
      </c>
      <c r="H54">
        <v>74</v>
      </c>
      <c r="I54">
        <v>59</v>
      </c>
    </row>
    <row r="55" spans="1:9" x14ac:dyDescent="0.3">
      <c r="A55" t="s">
        <v>26</v>
      </c>
      <c r="B55" t="s">
        <v>16</v>
      </c>
      <c r="C55" t="s">
        <v>20</v>
      </c>
      <c r="D55" t="s">
        <v>25</v>
      </c>
      <c r="E55">
        <v>5160</v>
      </c>
      <c r="F55">
        <v>3378</v>
      </c>
      <c r="G55">
        <v>1782</v>
      </c>
      <c r="H55">
        <v>60</v>
      </c>
      <c r="I55">
        <v>43</v>
      </c>
    </row>
    <row r="56" spans="1:9" x14ac:dyDescent="0.3">
      <c r="A56" t="s">
        <v>26</v>
      </c>
      <c r="B56" t="s">
        <v>11</v>
      </c>
      <c r="C56" t="s">
        <v>13</v>
      </c>
      <c r="D56" t="s">
        <v>21</v>
      </c>
      <c r="E56">
        <v>3498</v>
      </c>
      <c r="F56">
        <v>2684</v>
      </c>
      <c r="G56">
        <v>814</v>
      </c>
      <c r="H56">
        <v>96</v>
      </c>
      <c r="I56">
        <v>22</v>
      </c>
    </row>
    <row r="57" spans="1:9" x14ac:dyDescent="0.3">
      <c r="A57" t="s">
        <v>26</v>
      </c>
      <c r="B57" t="s">
        <v>11</v>
      </c>
      <c r="C57" t="s">
        <v>10</v>
      </c>
      <c r="D57" t="s">
        <v>21</v>
      </c>
      <c r="E57">
        <v>5456</v>
      </c>
      <c r="F57">
        <v>2922</v>
      </c>
      <c r="G57">
        <v>2534</v>
      </c>
      <c r="H57">
        <v>23</v>
      </c>
      <c r="I57">
        <v>16</v>
      </c>
    </row>
    <row r="58" spans="1:9" x14ac:dyDescent="0.3">
      <c r="A58" t="s">
        <v>26</v>
      </c>
      <c r="B58" t="s">
        <v>24</v>
      </c>
      <c r="C58" t="s">
        <v>23</v>
      </c>
      <c r="D58" t="s">
        <v>14</v>
      </c>
      <c r="E58">
        <v>7176</v>
      </c>
      <c r="F58">
        <v>4754</v>
      </c>
      <c r="G58">
        <v>2422</v>
      </c>
      <c r="H58">
        <v>73</v>
      </c>
      <c r="I58">
        <v>26</v>
      </c>
    </row>
    <row r="59" spans="1:9" x14ac:dyDescent="0.3">
      <c r="A59" t="s">
        <v>26</v>
      </c>
      <c r="B59" t="s">
        <v>18</v>
      </c>
      <c r="C59" t="s">
        <v>17</v>
      </c>
      <c r="D59" t="s">
        <v>21</v>
      </c>
      <c r="E59">
        <v>6018</v>
      </c>
      <c r="F59">
        <v>3841</v>
      </c>
      <c r="G59">
        <v>2177</v>
      </c>
      <c r="H59">
        <v>50</v>
      </c>
      <c r="I59">
        <v>34</v>
      </c>
    </row>
    <row r="60" spans="1:9" x14ac:dyDescent="0.3">
      <c r="A60" t="s">
        <v>26</v>
      </c>
      <c r="B60" t="s">
        <v>18</v>
      </c>
      <c r="C60" t="s">
        <v>17</v>
      </c>
      <c r="D60" t="s">
        <v>14</v>
      </c>
      <c r="E60">
        <v>8224</v>
      </c>
      <c r="F60">
        <v>5867</v>
      </c>
      <c r="G60">
        <v>2357</v>
      </c>
      <c r="H60">
        <v>51</v>
      </c>
      <c r="I60">
        <v>32</v>
      </c>
    </row>
    <row r="61" spans="1:9" x14ac:dyDescent="0.3">
      <c r="A61" t="s">
        <v>26</v>
      </c>
      <c r="B61" t="s">
        <v>11</v>
      </c>
      <c r="C61" t="s">
        <v>13</v>
      </c>
      <c r="D61" t="s">
        <v>12</v>
      </c>
      <c r="E61">
        <v>2592</v>
      </c>
      <c r="F61">
        <v>1725</v>
      </c>
      <c r="G61">
        <v>867</v>
      </c>
      <c r="H61">
        <v>27</v>
      </c>
      <c r="I61">
        <v>16</v>
      </c>
    </row>
    <row r="62" spans="1:9" x14ac:dyDescent="0.3">
      <c r="A62" t="s">
        <v>27</v>
      </c>
      <c r="B62" t="s">
        <v>11</v>
      </c>
      <c r="C62" t="s">
        <v>13</v>
      </c>
      <c r="D62" t="s">
        <v>14</v>
      </c>
      <c r="E62">
        <v>9932</v>
      </c>
      <c r="F62">
        <v>5676</v>
      </c>
      <c r="G62">
        <v>4256</v>
      </c>
      <c r="H62">
        <v>120</v>
      </c>
      <c r="I62">
        <v>52</v>
      </c>
    </row>
    <row r="63" spans="1:9" x14ac:dyDescent="0.3">
      <c r="A63" t="s">
        <v>27</v>
      </c>
      <c r="B63" t="s">
        <v>16</v>
      </c>
      <c r="C63" t="s">
        <v>22</v>
      </c>
      <c r="D63" t="s">
        <v>21</v>
      </c>
      <c r="E63">
        <v>10919</v>
      </c>
      <c r="F63">
        <v>5491</v>
      </c>
      <c r="G63">
        <v>5428</v>
      </c>
      <c r="H63">
        <v>99</v>
      </c>
      <c r="I63">
        <v>61</v>
      </c>
    </row>
    <row r="64" spans="1:9" x14ac:dyDescent="0.3">
      <c r="A64" t="s">
        <v>27</v>
      </c>
      <c r="B64" t="s">
        <v>11</v>
      </c>
      <c r="C64" t="s">
        <v>10</v>
      </c>
      <c r="D64" t="s">
        <v>19</v>
      </c>
      <c r="E64">
        <v>28700</v>
      </c>
      <c r="F64">
        <v>16616</v>
      </c>
      <c r="G64">
        <v>12084</v>
      </c>
      <c r="H64">
        <v>113</v>
      </c>
      <c r="I64">
        <v>70</v>
      </c>
    </row>
    <row r="65" spans="1:9" x14ac:dyDescent="0.3">
      <c r="A65" t="s">
        <v>27</v>
      </c>
      <c r="B65" t="s">
        <v>24</v>
      </c>
      <c r="C65" t="s">
        <v>23</v>
      </c>
      <c r="D65" t="s">
        <v>12</v>
      </c>
      <c r="E65">
        <v>7202</v>
      </c>
      <c r="F65">
        <v>3635</v>
      </c>
      <c r="G65">
        <v>3567</v>
      </c>
      <c r="H65">
        <v>59</v>
      </c>
      <c r="I65">
        <v>26</v>
      </c>
    </row>
    <row r="66" spans="1:9" x14ac:dyDescent="0.3">
      <c r="A66" t="s">
        <v>27</v>
      </c>
      <c r="B66" t="s">
        <v>24</v>
      </c>
      <c r="C66" t="s">
        <v>23</v>
      </c>
      <c r="D66" t="s">
        <v>25</v>
      </c>
      <c r="E66">
        <v>10304</v>
      </c>
      <c r="F66">
        <v>7619</v>
      </c>
      <c r="G66">
        <v>2685</v>
      </c>
      <c r="H66">
        <v>48</v>
      </c>
      <c r="I66">
        <v>46</v>
      </c>
    </row>
    <row r="67" spans="1:9" x14ac:dyDescent="0.3">
      <c r="A67" t="s">
        <v>27</v>
      </c>
      <c r="B67" t="s">
        <v>16</v>
      </c>
      <c r="C67" t="s">
        <v>15</v>
      </c>
      <c r="D67" t="s">
        <v>19</v>
      </c>
      <c r="E67">
        <v>11410</v>
      </c>
      <c r="F67">
        <v>5899</v>
      </c>
      <c r="G67">
        <v>5511</v>
      </c>
      <c r="H67">
        <v>52</v>
      </c>
      <c r="I67">
        <v>35</v>
      </c>
    </row>
    <row r="68" spans="1:9" x14ac:dyDescent="0.3">
      <c r="A68" t="s">
        <v>27</v>
      </c>
      <c r="B68" t="s">
        <v>18</v>
      </c>
      <c r="C68" t="s">
        <v>17</v>
      </c>
      <c r="D68" t="s">
        <v>14</v>
      </c>
      <c r="E68">
        <v>4464</v>
      </c>
      <c r="F68">
        <v>2981</v>
      </c>
      <c r="G68">
        <v>1483</v>
      </c>
      <c r="H68">
        <v>23</v>
      </c>
      <c r="I68">
        <v>12</v>
      </c>
    </row>
    <row r="69" spans="1:9" x14ac:dyDescent="0.3">
      <c r="A69" t="s">
        <v>27</v>
      </c>
      <c r="B69" t="s">
        <v>11</v>
      </c>
      <c r="C69" t="s">
        <v>10</v>
      </c>
      <c r="D69" t="s">
        <v>14</v>
      </c>
      <c r="E69">
        <v>14868</v>
      </c>
      <c r="F69">
        <v>9194</v>
      </c>
      <c r="G69">
        <v>5674</v>
      </c>
      <c r="H69">
        <v>73</v>
      </c>
      <c r="I69">
        <v>36</v>
      </c>
    </row>
    <row r="70" spans="1:9" x14ac:dyDescent="0.3">
      <c r="A70" t="s">
        <v>27</v>
      </c>
      <c r="B70" t="s">
        <v>16</v>
      </c>
      <c r="C70" t="s">
        <v>15</v>
      </c>
      <c r="D70" t="s">
        <v>25</v>
      </c>
      <c r="E70">
        <v>3757</v>
      </c>
      <c r="F70">
        <v>2315</v>
      </c>
      <c r="G70">
        <v>1442</v>
      </c>
      <c r="H70">
        <v>38</v>
      </c>
      <c r="I70">
        <v>17</v>
      </c>
    </row>
    <row r="71" spans="1:9" x14ac:dyDescent="0.3">
      <c r="A71" t="s">
        <v>27</v>
      </c>
      <c r="B71" t="s">
        <v>16</v>
      </c>
      <c r="C71" t="s">
        <v>22</v>
      </c>
      <c r="D71" t="s">
        <v>21</v>
      </c>
      <c r="E71">
        <v>10758</v>
      </c>
      <c r="F71">
        <v>8547</v>
      </c>
      <c r="G71">
        <v>2211</v>
      </c>
      <c r="H71">
        <v>44</v>
      </c>
      <c r="I71">
        <v>33</v>
      </c>
    </row>
    <row r="72" spans="1:9" x14ac:dyDescent="0.3">
      <c r="A72" t="s">
        <v>27</v>
      </c>
      <c r="B72" t="s">
        <v>16</v>
      </c>
      <c r="C72" t="s">
        <v>22</v>
      </c>
      <c r="D72" t="s">
        <v>25</v>
      </c>
      <c r="E72">
        <v>8679</v>
      </c>
      <c r="F72">
        <v>5506</v>
      </c>
      <c r="G72">
        <v>3173</v>
      </c>
      <c r="H72">
        <v>39</v>
      </c>
      <c r="I72">
        <v>33</v>
      </c>
    </row>
    <row r="73" spans="1:9" x14ac:dyDescent="0.3">
      <c r="A73" t="s">
        <v>27</v>
      </c>
      <c r="B73" t="s">
        <v>16</v>
      </c>
      <c r="C73" t="s">
        <v>20</v>
      </c>
      <c r="D73" t="s">
        <v>14</v>
      </c>
      <c r="E73">
        <v>3220</v>
      </c>
      <c r="F73">
        <v>2036</v>
      </c>
      <c r="G73">
        <v>1184</v>
      </c>
      <c r="H73">
        <v>100</v>
      </c>
      <c r="I73">
        <v>20</v>
      </c>
    </row>
    <row r="74" spans="1:9" x14ac:dyDescent="0.3">
      <c r="A74" t="s">
        <v>27</v>
      </c>
      <c r="B74" t="s">
        <v>24</v>
      </c>
      <c r="C74" t="s">
        <v>23</v>
      </c>
      <c r="D74" t="s">
        <v>21</v>
      </c>
      <c r="E74">
        <v>10877</v>
      </c>
      <c r="F74">
        <v>6389</v>
      </c>
      <c r="G74">
        <v>4488</v>
      </c>
      <c r="H74">
        <v>98</v>
      </c>
      <c r="I74">
        <v>73</v>
      </c>
    </row>
    <row r="75" spans="1:9" x14ac:dyDescent="0.3">
      <c r="A75" t="s">
        <v>27</v>
      </c>
      <c r="B75" t="s">
        <v>11</v>
      </c>
      <c r="C75" t="s">
        <v>10</v>
      </c>
      <c r="D75" t="s">
        <v>19</v>
      </c>
      <c r="E75">
        <v>8126</v>
      </c>
      <c r="F75">
        <v>4385</v>
      </c>
      <c r="G75">
        <v>3741</v>
      </c>
      <c r="H75">
        <v>47</v>
      </c>
      <c r="I75">
        <v>17</v>
      </c>
    </row>
    <row r="76" spans="1:9" x14ac:dyDescent="0.3">
      <c r="A76" t="s">
        <v>27</v>
      </c>
      <c r="B76" t="s">
        <v>11</v>
      </c>
      <c r="C76" t="s">
        <v>10</v>
      </c>
      <c r="D76" t="s">
        <v>21</v>
      </c>
      <c r="E76">
        <v>13905</v>
      </c>
      <c r="F76">
        <v>9466</v>
      </c>
      <c r="G76">
        <v>4439</v>
      </c>
      <c r="H76">
        <v>48</v>
      </c>
      <c r="I76">
        <v>45</v>
      </c>
    </row>
    <row r="77" spans="1:9" x14ac:dyDescent="0.3">
      <c r="A77" t="s">
        <v>27</v>
      </c>
      <c r="B77" t="s">
        <v>11</v>
      </c>
      <c r="C77" t="s">
        <v>13</v>
      </c>
      <c r="D77" t="s">
        <v>25</v>
      </c>
      <c r="E77">
        <v>12255</v>
      </c>
      <c r="F77">
        <v>8044</v>
      </c>
      <c r="G77">
        <v>4211</v>
      </c>
      <c r="H77">
        <v>81</v>
      </c>
      <c r="I77">
        <v>57</v>
      </c>
    </row>
    <row r="78" spans="1:9" x14ac:dyDescent="0.3">
      <c r="A78" t="s">
        <v>27</v>
      </c>
      <c r="B78" t="s">
        <v>24</v>
      </c>
      <c r="C78" t="s">
        <v>23</v>
      </c>
      <c r="D78" t="s">
        <v>12</v>
      </c>
      <c r="E78">
        <v>35866</v>
      </c>
      <c r="F78">
        <v>22690</v>
      </c>
      <c r="G78">
        <v>13176</v>
      </c>
      <c r="H78">
        <v>88</v>
      </c>
      <c r="I78">
        <v>79</v>
      </c>
    </row>
    <row r="79" spans="1:9" x14ac:dyDescent="0.3">
      <c r="A79" t="s">
        <v>27</v>
      </c>
      <c r="B79" t="s">
        <v>16</v>
      </c>
      <c r="C79" t="s">
        <v>22</v>
      </c>
      <c r="D79" t="s">
        <v>25</v>
      </c>
      <c r="E79">
        <v>15908</v>
      </c>
      <c r="F79">
        <v>8077</v>
      </c>
      <c r="G79">
        <v>7831</v>
      </c>
      <c r="H79">
        <v>53</v>
      </c>
      <c r="I79">
        <v>41</v>
      </c>
    </row>
    <row r="80" spans="1:9" x14ac:dyDescent="0.3">
      <c r="A80" t="s">
        <v>27</v>
      </c>
      <c r="B80" t="s">
        <v>16</v>
      </c>
      <c r="C80" t="s">
        <v>22</v>
      </c>
      <c r="D80" t="s">
        <v>14</v>
      </c>
      <c r="E80">
        <v>12247</v>
      </c>
      <c r="F80">
        <v>7400</v>
      </c>
      <c r="G80">
        <v>4847</v>
      </c>
      <c r="H80">
        <v>51</v>
      </c>
      <c r="I80">
        <v>37</v>
      </c>
    </row>
    <row r="81" spans="1:9" x14ac:dyDescent="0.3">
      <c r="A81" t="s">
        <v>27</v>
      </c>
      <c r="B81" t="s">
        <v>16</v>
      </c>
      <c r="C81" t="s">
        <v>22</v>
      </c>
      <c r="D81" t="s">
        <v>14</v>
      </c>
      <c r="E81">
        <v>6752</v>
      </c>
      <c r="F81">
        <v>3695</v>
      </c>
      <c r="G81">
        <v>3057</v>
      </c>
      <c r="H81">
        <v>97</v>
      </c>
      <c r="I81">
        <v>32</v>
      </c>
    </row>
    <row r="82" spans="1:9" x14ac:dyDescent="0.3">
      <c r="A82" t="s">
        <v>27</v>
      </c>
      <c r="B82" t="s">
        <v>11</v>
      </c>
      <c r="C82" t="s">
        <v>13</v>
      </c>
      <c r="D82" t="s">
        <v>21</v>
      </c>
      <c r="E82">
        <v>8932</v>
      </c>
      <c r="F82">
        <v>6551</v>
      </c>
      <c r="G82">
        <v>2381</v>
      </c>
      <c r="H82">
        <v>41</v>
      </c>
      <c r="I82">
        <v>29</v>
      </c>
    </row>
    <row r="83" spans="1:9" x14ac:dyDescent="0.3">
      <c r="A83" t="s">
        <v>27</v>
      </c>
      <c r="B83" t="s">
        <v>16</v>
      </c>
      <c r="C83" t="s">
        <v>20</v>
      </c>
      <c r="D83" t="s">
        <v>21</v>
      </c>
      <c r="E83">
        <v>5364</v>
      </c>
      <c r="F83">
        <v>3699</v>
      </c>
      <c r="G83">
        <v>1665</v>
      </c>
      <c r="H83">
        <v>20</v>
      </c>
      <c r="I83">
        <v>18</v>
      </c>
    </row>
    <row r="84" spans="1:9" x14ac:dyDescent="0.3">
      <c r="A84" t="s">
        <v>27</v>
      </c>
      <c r="B84" t="s">
        <v>24</v>
      </c>
      <c r="C84" t="s">
        <v>23</v>
      </c>
      <c r="D84" t="s">
        <v>14</v>
      </c>
      <c r="E84">
        <v>6586</v>
      </c>
      <c r="F84">
        <v>4251</v>
      </c>
      <c r="G84">
        <v>2335</v>
      </c>
      <c r="H84">
        <v>99</v>
      </c>
      <c r="I84">
        <v>37</v>
      </c>
    </row>
    <row r="85" spans="1:9" x14ac:dyDescent="0.3">
      <c r="A85" t="s">
        <v>27</v>
      </c>
      <c r="B85" t="s">
        <v>18</v>
      </c>
      <c r="C85" t="s">
        <v>17</v>
      </c>
      <c r="D85" t="s">
        <v>12</v>
      </c>
      <c r="E85">
        <v>12988</v>
      </c>
      <c r="F85">
        <v>10114</v>
      </c>
      <c r="G85">
        <v>2874</v>
      </c>
      <c r="H85">
        <v>37</v>
      </c>
      <c r="I85">
        <v>34</v>
      </c>
    </row>
    <row r="86" spans="1:9" x14ac:dyDescent="0.3">
      <c r="A86" t="s">
        <v>27</v>
      </c>
      <c r="B86" t="s">
        <v>11</v>
      </c>
      <c r="C86" t="s">
        <v>13</v>
      </c>
      <c r="D86" t="s">
        <v>25</v>
      </c>
      <c r="E86">
        <v>19422</v>
      </c>
      <c r="F86">
        <v>15183</v>
      </c>
      <c r="G86">
        <v>4239</v>
      </c>
      <c r="H86">
        <v>67</v>
      </c>
      <c r="I86">
        <v>39</v>
      </c>
    </row>
    <row r="87" spans="1:9" x14ac:dyDescent="0.3">
      <c r="A87" t="s">
        <v>27</v>
      </c>
      <c r="B87" t="s">
        <v>11</v>
      </c>
      <c r="C87" t="s">
        <v>10</v>
      </c>
      <c r="D87" t="s">
        <v>14</v>
      </c>
      <c r="E87">
        <v>7119</v>
      </c>
      <c r="F87">
        <v>5463</v>
      </c>
      <c r="G87">
        <v>1656</v>
      </c>
      <c r="H87">
        <v>42</v>
      </c>
      <c r="I87">
        <v>21</v>
      </c>
    </row>
    <row r="88" spans="1:9" x14ac:dyDescent="0.3">
      <c r="A88" t="s">
        <v>27</v>
      </c>
      <c r="B88" t="s">
        <v>18</v>
      </c>
      <c r="C88" t="s">
        <v>17</v>
      </c>
      <c r="D88" t="s">
        <v>19</v>
      </c>
      <c r="E88">
        <v>20538</v>
      </c>
      <c r="F88">
        <v>11676</v>
      </c>
      <c r="G88">
        <v>8862</v>
      </c>
      <c r="H88">
        <v>43</v>
      </c>
      <c r="I88">
        <v>42</v>
      </c>
    </row>
    <row r="89" spans="1:9" x14ac:dyDescent="0.3">
      <c r="A89" t="s">
        <v>27</v>
      </c>
      <c r="B89" t="s">
        <v>18</v>
      </c>
      <c r="C89" t="s">
        <v>17</v>
      </c>
      <c r="D89" t="s">
        <v>12</v>
      </c>
      <c r="E89">
        <v>13392</v>
      </c>
      <c r="F89">
        <v>10315</v>
      </c>
      <c r="G89">
        <v>3077</v>
      </c>
      <c r="H89">
        <v>47</v>
      </c>
      <c r="I89">
        <v>31</v>
      </c>
    </row>
    <row r="90" spans="1:9" x14ac:dyDescent="0.3">
      <c r="A90" t="s">
        <v>27</v>
      </c>
      <c r="B90" t="s">
        <v>16</v>
      </c>
      <c r="C90" t="s">
        <v>22</v>
      </c>
      <c r="D90" t="s">
        <v>25</v>
      </c>
      <c r="E90">
        <v>4185</v>
      </c>
      <c r="F90">
        <v>2821</v>
      </c>
      <c r="G90">
        <v>1364</v>
      </c>
      <c r="H90">
        <v>113</v>
      </c>
      <c r="I90">
        <v>15</v>
      </c>
    </row>
    <row r="91" spans="1:9" x14ac:dyDescent="0.3">
      <c r="A91" t="s">
        <v>27</v>
      </c>
      <c r="B91" t="s">
        <v>11</v>
      </c>
      <c r="C91" t="s">
        <v>13</v>
      </c>
      <c r="D91" t="s">
        <v>21</v>
      </c>
      <c r="E91">
        <v>4732</v>
      </c>
      <c r="F91">
        <v>3623</v>
      </c>
      <c r="G91">
        <v>1109</v>
      </c>
      <c r="H91">
        <v>115</v>
      </c>
      <c r="I91">
        <v>14</v>
      </c>
    </row>
    <row r="92" spans="1:9" x14ac:dyDescent="0.3">
      <c r="A92" t="s">
        <v>27</v>
      </c>
      <c r="B92" t="s">
        <v>24</v>
      </c>
      <c r="C92" t="s">
        <v>23</v>
      </c>
      <c r="D92" t="s">
        <v>25</v>
      </c>
      <c r="E92">
        <v>9898</v>
      </c>
      <c r="F92">
        <v>5954</v>
      </c>
      <c r="G92">
        <v>3944</v>
      </c>
      <c r="H92">
        <v>50</v>
      </c>
      <c r="I92">
        <v>49</v>
      </c>
    </row>
    <row r="93" spans="1:9" x14ac:dyDescent="0.3">
      <c r="A93" t="s">
        <v>28</v>
      </c>
      <c r="B93" t="s">
        <v>11</v>
      </c>
      <c r="C93" t="s">
        <v>13</v>
      </c>
      <c r="D93" t="s">
        <v>25</v>
      </c>
      <c r="E93">
        <v>8326</v>
      </c>
      <c r="F93">
        <v>6096</v>
      </c>
      <c r="G93">
        <v>2230</v>
      </c>
      <c r="H93">
        <v>35</v>
      </c>
      <c r="I93">
        <v>23</v>
      </c>
    </row>
    <row r="94" spans="1:9" x14ac:dyDescent="0.3">
      <c r="A94" t="s">
        <v>28</v>
      </c>
      <c r="B94" t="s">
        <v>18</v>
      </c>
      <c r="C94" t="s">
        <v>17</v>
      </c>
      <c r="D94" t="s">
        <v>25</v>
      </c>
      <c r="E94">
        <v>5400</v>
      </c>
      <c r="F94">
        <v>3247</v>
      </c>
      <c r="G94">
        <v>2153</v>
      </c>
      <c r="H94">
        <v>110</v>
      </c>
      <c r="I94">
        <v>24</v>
      </c>
    </row>
    <row r="95" spans="1:9" x14ac:dyDescent="0.3">
      <c r="A95" t="s">
        <v>28</v>
      </c>
      <c r="B95" t="s">
        <v>16</v>
      </c>
      <c r="C95" t="s">
        <v>22</v>
      </c>
      <c r="D95" t="s">
        <v>14</v>
      </c>
      <c r="E95">
        <v>15059</v>
      </c>
      <c r="F95">
        <v>8048</v>
      </c>
      <c r="G95">
        <v>7011</v>
      </c>
      <c r="H95">
        <v>38</v>
      </c>
      <c r="I95">
        <v>37</v>
      </c>
    </row>
    <row r="96" spans="1:9" x14ac:dyDescent="0.3">
      <c r="A96" t="s">
        <v>28</v>
      </c>
      <c r="B96" t="s">
        <v>18</v>
      </c>
      <c r="C96" t="s">
        <v>17</v>
      </c>
      <c r="D96" t="s">
        <v>14</v>
      </c>
      <c r="E96">
        <v>27482</v>
      </c>
      <c r="F96">
        <v>15000</v>
      </c>
      <c r="G96">
        <v>12482</v>
      </c>
      <c r="H96">
        <v>92</v>
      </c>
      <c r="I96">
        <v>91</v>
      </c>
    </row>
    <row r="97" spans="1:9" x14ac:dyDescent="0.3">
      <c r="A97" t="s">
        <v>28</v>
      </c>
      <c r="B97" t="s">
        <v>11</v>
      </c>
      <c r="C97" t="s">
        <v>10</v>
      </c>
      <c r="D97" t="s">
        <v>21</v>
      </c>
      <c r="E97">
        <v>10317</v>
      </c>
      <c r="F97">
        <v>5892</v>
      </c>
      <c r="G97">
        <v>4425</v>
      </c>
      <c r="H97">
        <v>87</v>
      </c>
      <c r="I97">
        <v>57</v>
      </c>
    </row>
    <row r="98" spans="1:9" x14ac:dyDescent="0.3">
      <c r="A98" t="s">
        <v>28</v>
      </c>
      <c r="B98" t="s">
        <v>11</v>
      </c>
      <c r="C98" t="s">
        <v>13</v>
      </c>
      <c r="D98" t="s">
        <v>25</v>
      </c>
      <c r="E98">
        <v>7684</v>
      </c>
      <c r="F98">
        <v>5730</v>
      </c>
      <c r="G98">
        <v>1954</v>
      </c>
      <c r="H98">
        <v>21</v>
      </c>
      <c r="I98">
        <v>17</v>
      </c>
    </row>
    <row r="99" spans="1:9" x14ac:dyDescent="0.3">
      <c r="A99" t="s">
        <v>28</v>
      </c>
      <c r="B99" t="s">
        <v>16</v>
      </c>
      <c r="C99" t="s">
        <v>20</v>
      </c>
      <c r="D99" t="s">
        <v>21</v>
      </c>
      <c r="E99">
        <v>16500</v>
      </c>
      <c r="F99">
        <v>11989</v>
      </c>
      <c r="G99">
        <v>4511</v>
      </c>
      <c r="H99">
        <v>96</v>
      </c>
      <c r="I99">
        <v>75</v>
      </c>
    </row>
    <row r="100" spans="1:9" x14ac:dyDescent="0.3">
      <c r="A100" t="s">
        <v>28</v>
      </c>
      <c r="B100" t="s">
        <v>18</v>
      </c>
      <c r="C100" t="s">
        <v>17</v>
      </c>
      <c r="D100" t="s">
        <v>19</v>
      </c>
      <c r="E100">
        <v>3016</v>
      </c>
      <c r="F100">
        <v>1762</v>
      </c>
      <c r="G100">
        <v>1254</v>
      </c>
      <c r="H100">
        <v>73</v>
      </c>
      <c r="I100">
        <v>26</v>
      </c>
    </row>
    <row r="101" spans="1:9" x14ac:dyDescent="0.3">
      <c r="A101" t="s">
        <v>28</v>
      </c>
      <c r="B101" t="s">
        <v>18</v>
      </c>
      <c r="C101" t="s">
        <v>17</v>
      </c>
      <c r="D101" t="s">
        <v>25</v>
      </c>
      <c r="E101">
        <v>1856</v>
      </c>
      <c r="F101">
        <v>1401</v>
      </c>
      <c r="G101">
        <v>455</v>
      </c>
      <c r="H101">
        <v>73</v>
      </c>
      <c r="I101">
        <v>16</v>
      </c>
    </row>
    <row r="102" spans="1:9" x14ac:dyDescent="0.3">
      <c r="A102" t="s">
        <v>28</v>
      </c>
      <c r="B102" t="s">
        <v>16</v>
      </c>
      <c r="C102" t="s">
        <v>20</v>
      </c>
      <c r="D102" t="s">
        <v>25</v>
      </c>
      <c r="E102">
        <v>4620</v>
      </c>
      <c r="F102">
        <v>3142</v>
      </c>
      <c r="G102">
        <v>1478</v>
      </c>
      <c r="H102">
        <v>31</v>
      </c>
      <c r="I102">
        <v>30</v>
      </c>
    </row>
    <row r="103" spans="1:9" x14ac:dyDescent="0.3">
      <c r="A103" t="s">
        <v>28</v>
      </c>
      <c r="B103" t="s">
        <v>16</v>
      </c>
      <c r="C103" t="s">
        <v>22</v>
      </c>
      <c r="D103" t="s">
        <v>25</v>
      </c>
      <c r="E103">
        <v>7940</v>
      </c>
      <c r="F103">
        <v>4098</v>
      </c>
      <c r="G103">
        <v>3842</v>
      </c>
      <c r="H103">
        <v>57</v>
      </c>
      <c r="I103">
        <v>20</v>
      </c>
    </row>
    <row r="104" spans="1:9" x14ac:dyDescent="0.3">
      <c r="A104" t="s">
        <v>28</v>
      </c>
      <c r="B104" t="s">
        <v>16</v>
      </c>
      <c r="C104" t="s">
        <v>20</v>
      </c>
      <c r="D104" t="s">
        <v>25</v>
      </c>
      <c r="E104">
        <v>3587</v>
      </c>
      <c r="F104">
        <v>2746</v>
      </c>
      <c r="G104">
        <v>841</v>
      </c>
      <c r="H104">
        <v>30</v>
      </c>
      <c r="I104">
        <v>17</v>
      </c>
    </row>
    <row r="105" spans="1:9" x14ac:dyDescent="0.3">
      <c r="A105" t="s">
        <v>28</v>
      </c>
      <c r="B105" t="s">
        <v>11</v>
      </c>
      <c r="C105" t="s">
        <v>13</v>
      </c>
      <c r="D105" t="s">
        <v>21</v>
      </c>
      <c r="E105">
        <v>8673</v>
      </c>
      <c r="F105">
        <v>6504</v>
      </c>
      <c r="G105">
        <v>2169</v>
      </c>
      <c r="H105">
        <v>46</v>
      </c>
      <c r="I105">
        <v>21</v>
      </c>
    </row>
    <row r="106" spans="1:9" x14ac:dyDescent="0.3">
      <c r="A106" t="s">
        <v>28</v>
      </c>
      <c r="B106" t="s">
        <v>24</v>
      </c>
      <c r="C106" t="s">
        <v>23</v>
      </c>
      <c r="D106" t="s">
        <v>21</v>
      </c>
      <c r="E106">
        <v>33540</v>
      </c>
      <c r="F106">
        <v>25547</v>
      </c>
      <c r="G106">
        <v>7993</v>
      </c>
      <c r="H106">
        <v>109</v>
      </c>
      <c r="I106">
        <v>86</v>
      </c>
    </row>
    <row r="107" spans="1:9" x14ac:dyDescent="0.3">
      <c r="A107" t="s">
        <v>28</v>
      </c>
      <c r="B107" t="s">
        <v>18</v>
      </c>
      <c r="C107" t="s">
        <v>17</v>
      </c>
      <c r="D107" t="s">
        <v>14</v>
      </c>
      <c r="E107">
        <v>17680</v>
      </c>
      <c r="F107">
        <v>12897</v>
      </c>
      <c r="G107">
        <v>4783</v>
      </c>
      <c r="H107">
        <v>61</v>
      </c>
      <c r="I107">
        <v>52</v>
      </c>
    </row>
    <row r="108" spans="1:9" x14ac:dyDescent="0.3">
      <c r="A108" t="s">
        <v>28</v>
      </c>
      <c r="B108" t="s">
        <v>18</v>
      </c>
      <c r="C108" t="s">
        <v>17</v>
      </c>
      <c r="D108" t="s">
        <v>12</v>
      </c>
      <c r="E108">
        <v>10440</v>
      </c>
      <c r="F108">
        <v>7527</v>
      </c>
      <c r="G108">
        <v>2913</v>
      </c>
      <c r="H108">
        <v>88</v>
      </c>
      <c r="I108">
        <v>40</v>
      </c>
    </row>
    <row r="109" spans="1:9" x14ac:dyDescent="0.3">
      <c r="A109" t="s">
        <v>28</v>
      </c>
      <c r="B109" t="s">
        <v>11</v>
      </c>
      <c r="C109" t="s">
        <v>10</v>
      </c>
      <c r="D109" t="s">
        <v>25</v>
      </c>
      <c r="E109">
        <v>11532</v>
      </c>
      <c r="F109">
        <v>8018</v>
      </c>
      <c r="G109">
        <v>3514</v>
      </c>
      <c r="H109">
        <v>39</v>
      </c>
      <c r="I109">
        <v>31</v>
      </c>
    </row>
    <row r="110" spans="1:9" x14ac:dyDescent="0.3">
      <c r="A110" t="s">
        <v>28</v>
      </c>
      <c r="B110" t="s">
        <v>11</v>
      </c>
      <c r="C110" t="s">
        <v>10</v>
      </c>
      <c r="D110" t="s">
        <v>14</v>
      </c>
      <c r="E110">
        <v>8925</v>
      </c>
      <c r="F110">
        <v>5232</v>
      </c>
      <c r="G110">
        <v>3693</v>
      </c>
      <c r="H110">
        <v>31</v>
      </c>
      <c r="I110">
        <v>21</v>
      </c>
    </row>
    <row r="111" spans="1:9" x14ac:dyDescent="0.3">
      <c r="A111" t="s">
        <v>28</v>
      </c>
      <c r="B111" t="s">
        <v>11</v>
      </c>
      <c r="C111" t="s">
        <v>13</v>
      </c>
      <c r="D111" t="s">
        <v>25</v>
      </c>
      <c r="E111">
        <v>9660</v>
      </c>
      <c r="F111">
        <v>7004</v>
      </c>
      <c r="G111">
        <v>2656</v>
      </c>
      <c r="H111">
        <v>21</v>
      </c>
      <c r="I111">
        <v>21</v>
      </c>
    </row>
    <row r="112" spans="1:9" x14ac:dyDescent="0.3">
      <c r="A112" t="s">
        <v>28</v>
      </c>
      <c r="B112" t="s">
        <v>11</v>
      </c>
      <c r="C112" t="s">
        <v>10</v>
      </c>
      <c r="D112" t="s">
        <v>25</v>
      </c>
      <c r="E112">
        <v>4088</v>
      </c>
      <c r="F112">
        <v>2625</v>
      </c>
      <c r="G112">
        <v>1463</v>
      </c>
      <c r="H112">
        <v>29</v>
      </c>
      <c r="I112">
        <v>28</v>
      </c>
    </row>
    <row r="113" spans="1:9" x14ac:dyDescent="0.3">
      <c r="A113" t="s">
        <v>28</v>
      </c>
      <c r="B113" t="s">
        <v>24</v>
      </c>
      <c r="C113" t="s">
        <v>23</v>
      </c>
      <c r="D113" t="s">
        <v>19</v>
      </c>
      <c r="E113">
        <v>16485</v>
      </c>
      <c r="F113">
        <v>12477</v>
      </c>
      <c r="G113">
        <v>4008</v>
      </c>
      <c r="H113">
        <v>47</v>
      </c>
      <c r="I113">
        <v>35</v>
      </c>
    </row>
    <row r="114" spans="1:9" x14ac:dyDescent="0.3">
      <c r="A114" t="s">
        <v>28</v>
      </c>
      <c r="B114" t="s">
        <v>11</v>
      </c>
      <c r="C114" t="s">
        <v>10</v>
      </c>
      <c r="D114" t="s">
        <v>21</v>
      </c>
      <c r="E114">
        <v>27028</v>
      </c>
      <c r="F114">
        <v>16251</v>
      </c>
      <c r="G114">
        <v>10777</v>
      </c>
      <c r="H114">
        <v>61</v>
      </c>
      <c r="I114">
        <v>58</v>
      </c>
    </row>
    <row r="115" spans="1:9" x14ac:dyDescent="0.3">
      <c r="A115" t="s">
        <v>28</v>
      </c>
      <c r="B115" t="s">
        <v>16</v>
      </c>
      <c r="C115" t="s">
        <v>22</v>
      </c>
      <c r="D115" t="s">
        <v>25</v>
      </c>
      <c r="E115">
        <v>16160</v>
      </c>
      <c r="F115">
        <v>8877</v>
      </c>
      <c r="G115">
        <v>7283</v>
      </c>
      <c r="H115">
        <v>114</v>
      </c>
      <c r="I115">
        <v>40</v>
      </c>
    </row>
    <row r="116" spans="1:9" x14ac:dyDescent="0.3">
      <c r="A116" t="s">
        <v>28</v>
      </c>
      <c r="B116" t="s">
        <v>24</v>
      </c>
      <c r="C116" t="s">
        <v>23</v>
      </c>
      <c r="D116" t="s">
        <v>21</v>
      </c>
      <c r="E116">
        <v>5130</v>
      </c>
      <c r="F116">
        <v>4039</v>
      </c>
      <c r="G116">
        <v>1091</v>
      </c>
      <c r="H116">
        <v>56</v>
      </c>
      <c r="I116">
        <v>30</v>
      </c>
    </row>
    <row r="117" spans="1:9" x14ac:dyDescent="0.3">
      <c r="A117" t="s">
        <v>28</v>
      </c>
      <c r="B117" t="s">
        <v>11</v>
      </c>
      <c r="C117" t="s">
        <v>13</v>
      </c>
      <c r="D117" t="s">
        <v>12</v>
      </c>
      <c r="E117">
        <v>16356</v>
      </c>
      <c r="F117">
        <v>12210</v>
      </c>
      <c r="G117">
        <v>4146</v>
      </c>
      <c r="H117">
        <v>88</v>
      </c>
      <c r="I117">
        <v>87</v>
      </c>
    </row>
    <row r="118" spans="1:9" x14ac:dyDescent="0.3">
      <c r="A118" t="s">
        <v>28</v>
      </c>
      <c r="B118" t="s">
        <v>16</v>
      </c>
      <c r="C118" t="s">
        <v>15</v>
      </c>
      <c r="D118" t="s">
        <v>12</v>
      </c>
      <c r="E118">
        <v>10764</v>
      </c>
      <c r="F118">
        <v>5430</v>
      </c>
      <c r="G118">
        <v>5334</v>
      </c>
      <c r="H118">
        <v>71</v>
      </c>
      <c r="I118">
        <v>39</v>
      </c>
    </row>
    <row r="119" spans="1:9" x14ac:dyDescent="0.3">
      <c r="A119" t="s">
        <v>28</v>
      </c>
      <c r="B119" t="s">
        <v>11</v>
      </c>
      <c r="C119" t="s">
        <v>13</v>
      </c>
      <c r="D119" t="s">
        <v>19</v>
      </c>
      <c r="E119">
        <v>15912</v>
      </c>
      <c r="F119">
        <v>8786</v>
      </c>
      <c r="G119">
        <v>7126</v>
      </c>
      <c r="H119">
        <v>109</v>
      </c>
      <c r="I119">
        <v>78</v>
      </c>
    </row>
    <row r="120" spans="1:9" x14ac:dyDescent="0.3">
      <c r="A120" t="s">
        <v>28</v>
      </c>
      <c r="B120" t="s">
        <v>18</v>
      </c>
      <c r="C120" t="s">
        <v>17</v>
      </c>
      <c r="D120" t="s">
        <v>19</v>
      </c>
      <c r="E120">
        <v>4452</v>
      </c>
      <c r="F120">
        <v>3298</v>
      </c>
      <c r="G120">
        <v>1154</v>
      </c>
      <c r="H120">
        <v>89</v>
      </c>
      <c r="I120">
        <v>28</v>
      </c>
    </row>
    <row r="121" spans="1:9" x14ac:dyDescent="0.3">
      <c r="A121" t="s">
        <v>28</v>
      </c>
      <c r="B121" t="s">
        <v>16</v>
      </c>
      <c r="C121" t="s">
        <v>20</v>
      </c>
      <c r="D121" t="s">
        <v>14</v>
      </c>
      <c r="E121">
        <v>2960</v>
      </c>
      <c r="F121">
        <v>1904</v>
      </c>
      <c r="G121">
        <v>1056</v>
      </c>
      <c r="H121">
        <v>38</v>
      </c>
      <c r="I121">
        <v>20</v>
      </c>
    </row>
    <row r="122" spans="1:9" x14ac:dyDescent="0.3">
      <c r="A122" t="s">
        <v>28</v>
      </c>
      <c r="B122" t="s">
        <v>16</v>
      </c>
      <c r="C122" t="s">
        <v>15</v>
      </c>
      <c r="D122" t="s">
        <v>25</v>
      </c>
      <c r="E122">
        <v>7906</v>
      </c>
      <c r="F122">
        <v>5849</v>
      </c>
      <c r="G122">
        <v>2057</v>
      </c>
      <c r="H122">
        <v>83</v>
      </c>
      <c r="I122">
        <v>59</v>
      </c>
    </row>
    <row r="123" spans="1:9" x14ac:dyDescent="0.3">
      <c r="A123" t="s">
        <v>29</v>
      </c>
      <c r="B123" t="s">
        <v>11</v>
      </c>
      <c r="C123" t="s">
        <v>10</v>
      </c>
      <c r="D123" t="s">
        <v>12</v>
      </c>
      <c r="E123">
        <v>9369</v>
      </c>
      <c r="F123">
        <v>4731</v>
      </c>
      <c r="G123">
        <v>4638</v>
      </c>
      <c r="H123">
        <v>48</v>
      </c>
      <c r="I123">
        <v>27</v>
      </c>
    </row>
    <row r="124" spans="1:9" x14ac:dyDescent="0.3">
      <c r="A124" t="s">
        <v>29</v>
      </c>
      <c r="B124" t="s">
        <v>16</v>
      </c>
      <c r="C124" t="s">
        <v>15</v>
      </c>
      <c r="D124" t="s">
        <v>14</v>
      </c>
      <c r="E124">
        <v>14630</v>
      </c>
      <c r="F124">
        <v>8804</v>
      </c>
      <c r="G124">
        <v>5826</v>
      </c>
      <c r="H124">
        <v>97</v>
      </c>
      <c r="I124">
        <v>70</v>
      </c>
    </row>
    <row r="125" spans="1:9" x14ac:dyDescent="0.3">
      <c r="A125" t="s">
        <v>29</v>
      </c>
      <c r="B125" t="s">
        <v>18</v>
      </c>
      <c r="C125" t="s">
        <v>17</v>
      </c>
      <c r="D125" t="s">
        <v>19</v>
      </c>
      <c r="E125">
        <v>8904</v>
      </c>
      <c r="F125">
        <v>5720</v>
      </c>
      <c r="G125">
        <v>3184</v>
      </c>
      <c r="H125">
        <v>34</v>
      </c>
      <c r="I125">
        <v>21</v>
      </c>
    </row>
    <row r="126" spans="1:9" x14ac:dyDescent="0.3">
      <c r="A126" t="s">
        <v>29</v>
      </c>
      <c r="B126" t="s">
        <v>16</v>
      </c>
      <c r="C126" t="s">
        <v>22</v>
      </c>
      <c r="D126" t="s">
        <v>14</v>
      </c>
      <c r="E126">
        <v>46172</v>
      </c>
      <c r="F126">
        <v>31236</v>
      </c>
      <c r="G126">
        <v>14936</v>
      </c>
      <c r="H126">
        <v>109</v>
      </c>
      <c r="I126">
        <v>97</v>
      </c>
    </row>
    <row r="127" spans="1:9" x14ac:dyDescent="0.3">
      <c r="A127" t="s">
        <v>29</v>
      </c>
      <c r="B127" t="s">
        <v>11</v>
      </c>
      <c r="C127" t="s">
        <v>10</v>
      </c>
      <c r="D127" t="s">
        <v>19</v>
      </c>
      <c r="E127">
        <v>20592</v>
      </c>
      <c r="F127">
        <v>14046</v>
      </c>
      <c r="G127">
        <v>6546</v>
      </c>
      <c r="H127">
        <v>85</v>
      </c>
      <c r="I127">
        <v>48</v>
      </c>
    </row>
    <row r="128" spans="1:9" x14ac:dyDescent="0.3">
      <c r="A128" t="s">
        <v>29</v>
      </c>
      <c r="B128" t="s">
        <v>24</v>
      </c>
      <c r="C128" t="s">
        <v>23</v>
      </c>
      <c r="D128" t="s">
        <v>14</v>
      </c>
      <c r="E128">
        <v>2420</v>
      </c>
      <c r="F128">
        <v>1652</v>
      </c>
      <c r="G128">
        <v>768</v>
      </c>
      <c r="H128">
        <v>23</v>
      </c>
      <c r="I128">
        <v>11</v>
      </c>
    </row>
    <row r="129" spans="1:9" x14ac:dyDescent="0.3">
      <c r="A129" t="s">
        <v>29</v>
      </c>
      <c r="B129" t="s">
        <v>24</v>
      </c>
      <c r="C129" t="s">
        <v>23</v>
      </c>
      <c r="D129" t="s">
        <v>19</v>
      </c>
      <c r="E129">
        <v>5018</v>
      </c>
      <c r="F129">
        <v>2606</v>
      </c>
      <c r="G129">
        <v>2412</v>
      </c>
      <c r="H129">
        <v>80</v>
      </c>
      <c r="I129">
        <v>13</v>
      </c>
    </row>
    <row r="130" spans="1:9" x14ac:dyDescent="0.3">
      <c r="A130" t="s">
        <v>29</v>
      </c>
      <c r="B130" t="s">
        <v>18</v>
      </c>
      <c r="C130" t="s">
        <v>17</v>
      </c>
      <c r="D130" t="s">
        <v>14</v>
      </c>
      <c r="E130">
        <v>17316</v>
      </c>
      <c r="F130">
        <v>9370</v>
      </c>
      <c r="G130">
        <v>7946</v>
      </c>
      <c r="H130">
        <v>42</v>
      </c>
      <c r="I130">
        <v>36</v>
      </c>
    </row>
    <row r="131" spans="1:9" x14ac:dyDescent="0.3">
      <c r="A131" t="s">
        <v>29</v>
      </c>
      <c r="B131" t="s">
        <v>18</v>
      </c>
      <c r="C131" t="s">
        <v>17</v>
      </c>
      <c r="D131" t="s">
        <v>14</v>
      </c>
      <c r="E131">
        <v>17440</v>
      </c>
      <c r="F131">
        <v>10775</v>
      </c>
      <c r="G131">
        <v>6665</v>
      </c>
      <c r="H131">
        <v>86</v>
      </c>
      <c r="I131">
        <v>40</v>
      </c>
    </row>
    <row r="132" spans="1:9" x14ac:dyDescent="0.3">
      <c r="A132" t="s">
        <v>29</v>
      </c>
      <c r="B132" t="s">
        <v>16</v>
      </c>
      <c r="C132" t="s">
        <v>22</v>
      </c>
      <c r="D132" t="s">
        <v>25</v>
      </c>
      <c r="E132">
        <v>12609</v>
      </c>
      <c r="F132">
        <v>6952</v>
      </c>
      <c r="G132">
        <v>5657</v>
      </c>
      <c r="H132">
        <v>86</v>
      </c>
      <c r="I132">
        <v>27</v>
      </c>
    </row>
    <row r="133" spans="1:9" x14ac:dyDescent="0.3">
      <c r="A133" t="s">
        <v>29</v>
      </c>
      <c r="B133" t="s">
        <v>16</v>
      </c>
      <c r="C133" t="s">
        <v>22</v>
      </c>
      <c r="D133" t="s">
        <v>25</v>
      </c>
      <c r="E133">
        <v>4326</v>
      </c>
      <c r="F133">
        <v>2494</v>
      </c>
      <c r="G133">
        <v>1832</v>
      </c>
      <c r="H133">
        <v>119</v>
      </c>
      <c r="I133">
        <v>42</v>
      </c>
    </row>
    <row r="134" spans="1:9" x14ac:dyDescent="0.3">
      <c r="A134" t="s">
        <v>29</v>
      </c>
      <c r="B134" t="s">
        <v>16</v>
      </c>
      <c r="C134" t="s">
        <v>22</v>
      </c>
      <c r="D134" t="s">
        <v>14</v>
      </c>
      <c r="E134">
        <v>8762</v>
      </c>
      <c r="F134">
        <v>4704</v>
      </c>
      <c r="G134">
        <v>4058</v>
      </c>
      <c r="H134">
        <v>39</v>
      </c>
      <c r="I134">
        <v>26</v>
      </c>
    </row>
    <row r="135" spans="1:9" x14ac:dyDescent="0.3">
      <c r="A135" t="s">
        <v>29</v>
      </c>
      <c r="B135" t="s">
        <v>24</v>
      </c>
      <c r="C135" t="s">
        <v>23</v>
      </c>
      <c r="D135" t="s">
        <v>12</v>
      </c>
      <c r="E135">
        <v>13566</v>
      </c>
      <c r="F135">
        <v>10318</v>
      </c>
      <c r="G135">
        <v>3248</v>
      </c>
      <c r="H135">
        <v>58</v>
      </c>
      <c r="I135">
        <v>42</v>
      </c>
    </row>
    <row r="136" spans="1:9" x14ac:dyDescent="0.3">
      <c r="A136" t="s">
        <v>29</v>
      </c>
      <c r="B136" t="s">
        <v>11</v>
      </c>
      <c r="C136" t="s">
        <v>13</v>
      </c>
      <c r="D136" t="s">
        <v>21</v>
      </c>
      <c r="E136">
        <v>38130</v>
      </c>
      <c r="F136">
        <v>24499</v>
      </c>
      <c r="G136">
        <v>13631</v>
      </c>
      <c r="H136">
        <v>113</v>
      </c>
      <c r="I136">
        <v>93</v>
      </c>
    </row>
    <row r="137" spans="1:9" x14ac:dyDescent="0.3">
      <c r="A137" t="s">
        <v>29</v>
      </c>
      <c r="B137" t="s">
        <v>16</v>
      </c>
      <c r="C137" t="s">
        <v>20</v>
      </c>
      <c r="D137" t="s">
        <v>25</v>
      </c>
      <c r="E137">
        <v>11542</v>
      </c>
      <c r="F137">
        <v>7321</v>
      </c>
      <c r="G137">
        <v>4221</v>
      </c>
      <c r="H137">
        <v>40</v>
      </c>
      <c r="I137">
        <v>29</v>
      </c>
    </row>
    <row r="138" spans="1:9" x14ac:dyDescent="0.3">
      <c r="A138" t="s">
        <v>29</v>
      </c>
      <c r="B138" t="s">
        <v>16</v>
      </c>
      <c r="C138" t="s">
        <v>15</v>
      </c>
      <c r="D138" t="s">
        <v>21</v>
      </c>
      <c r="E138">
        <v>6384</v>
      </c>
      <c r="F138">
        <v>4014</v>
      </c>
      <c r="G138">
        <v>2370</v>
      </c>
      <c r="H138">
        <v>36</v>
      </c>
      <c r="I138">
        <v>16</v>
      </c>
    </row>
    <row r="139" spans="1:9" x14ac:dyDescent="0.3">
      <c r="A139" t="s">
        <v>29</v>
      </c>
      <c r="B139" t="s">
        <v>16</v>
      </c>
      <c r="C139" t="s">
        <v>15</v>
      </c>
      <c r="D139" t="s">
        <v>25</v>
      </c>
      <c r="E139">
        <v>2727</v>
      </c>
      <c r="F139">
        <v>2171</v>
      </c>
      <c r="G139">
        <v>556</v>
      </c>
      <c r="H139">
        <v>66</v>
      </c>
      <c r="I139">
        <v>27</v>
      </c>
    </row>
    <row r="140" spans="1:9" x14ac:dyDescent="0.3">
      <c r="A140" t="s">
        <v>29</v>
      </c>
      <c r="B140" t="s">
        <v>18</v>
      </c>
      <c r="C140" t="s">
        <v>17</v>
      </c>
      <c r="D140" t="s">
        <v>19</v>
      </c>
      <c r="E140">
        <v>37499</v>
      </c>
      <c r="F140">
        <v>18762</v>
      </c>
      <c r="G140">
        <v>18737</v>
      </c>
      <c r="H140">
        <v>103</v>
      </c>
      <c r="I140">
        <v>77</v>
      </c>
    </row>
    <row r="141" spans="1:9" x14ac:dyDescent="0.3">
      <c r="A141" t="s">
        <v>29</v>
      </c>
      <c r="B141" t="s">
        <v>18</v>
      </c>
      <c r="C141" t="s">
        <v>17</v>
      </c>
      <c r="D141" t="s">
        <v>12</v>
      </c>
      <c r="E141">
        <v>24304</v>
      </c>
      <c r="F141">
        <v>18211</v>
      </c>
      <c r="G141">
        <v>6093</v>
      </c>
      <c r="H141">
        <v>57</v>
      </c>
      <c r="I141">
        <v>56</v>
      </c>
    </row>
    <row r="142" spans="1:9" x14ac:dyDescent="0.3">
      <c r="A142" t="s">
        <v>29</v>
      </c>
      <c r="B142" t="s">
        <v>11</v>
      </c>
      <c r="C142" t="s">
        <v>13</v>
      </c>
      <c r="D142" t="s">
        <v>19</v>
      </c>
      <c r="E142">
        <v>19215</v>
      </c>
      <c r="F142">
        <v>14304</v>
      </c>
      <c r="G142">
        <v>4911</v>
      </c>
      <c r="H142">
        <v>86</v>
      </c>
      <c r="I142">
        <v>61</v>
      </c>
    </row>
    <row r="143" spans="1:9" x14ac:dyDescent="0.3">
      <c r="A143" t="s">
        <v>29</v>
      </c>
      <c r="B143" t="s">
        <v>24</v>
      </c>
      <c r="C143" t="s">
        <v>23</v>
      </c>
      <c r="D143" t="s">
        <v>25</v>
      </c>
      <c r="E143">
        <v>15232</v>
      </c>
      <c r="F143">
        <v>11099</v>
      </c>
      <c r="G143">
        <v>4133</v>
      </c>
      <c r="H143">
        <v>94</v>
      </c>
      <c r="I143">
        <v>56</v>
      </c>
    </row>
    <row r="144" spans="1:9" x14ac:dyDescent="0.3">
      <c r="A144" t="s">
        <v>29</v>
      </c>
      <c r="B144" t="s">
        <v>24</v>
      </c>
      <c r="C144" t="s">
        <v>23</v>
      </c>
      <c r="D144" t="s">
        <v>25</v>
      </c>
      <c r="E144">
        <v>8949</v>
      </c>
      <c r="F144">
        <v>5796</v>
      </c>
      <c r="G144">
        <v>3153</v>
      </c>
      <c r="H144">
        <v>31</v>
      </c>
      <c r="I144">
        <v>19</v>
      </c>
    </row>
    <row r="145" spans="1:9" x14ac:dyDescent="0.3">
      <c r="A145" t="s">
        <v>29</v>
      </c>
      <c r="B145" t="s">
        <v>16</v>
      </c>
      <c r="C145" t="s">
        <v>20</v>
      </c>
      <c r="D145" t="s">
        <v>14</v>
      </c>
      <c r="E145">
        <v>5649</v>
      </c>
      <c r="F145">
        <v>3430</v>
      </c>
      <c r="G145">
        <v>2219</v>
      </c>
      <c r="H145">
        <v>96</v>
      </c>
      <c r="I145">
        <v>21</v>
      </c>
    </row>
    <row r="146" spans="1:9" x14ac:dyDescent="0.3">
      <c r="A146" t="s">
        <v>29</v>
      </c>
      <c r="B146" t="s">
        <v>16</v>
      </c>
      <c r="C146" t="s">
        <v>22</v>
      </c>
      <c r="D146" t="s">
        <v>21</v>
      </c>
      <c r="E146">
        <v>17712</v>
      </c>
      <c r="F146">
        <v>13693</v>
      </c>
      <c r="G146">
        <v>4019</v>
      </c>
      <c r="H146">
        <v>100</v>
      </c>
      <c r="I146">
        <v>72</v>
      </c>
    </row>
    <row r="147" spans="1:9" x14ac:dyDescent="0.3">
      <c r="A147" t="s">
        <v>29</v>
      </c>
      <c r="B147" t="s">
        <v>11</v>
      </c>
      <c r="C147" t="s">
        <v>10</v>
      </c>
      <c r="D147" t="s">
        <v>19</v>
      </c>
      <c r="E147">
        <v>7290</v>
      </c>
      <c r="F147">
        <v>3654</v>
      </c>
      <c r="G147">
        <v>3636</v>
      </c>
      <c r="H147">
        <v>28</v>
      </c>
      <c r="I147">
        <v>27</v>
      </c>
    </row>
    <row r="148" spans="1:9" x14ac:dyDescent="0.3">
      <c r="A148" t="s">
        <v>29</v>
      </c>
      <c r="B148" t="s">
        <v>16</v>
      </c>
      <c r="C148" t="s">
        <v>20</v>
      </c>
      <c r="D148" t="s">
        <v>19</v>
      </c>
      <c r="E148">
        <v>5372</v>
      </c>
      <c r="F148">
        <v>3480</v>
      </c>
      <c r="G148">
        <v>1892</v>
      </c>
      <c r="H148">
        <v>98</v>
      </c>
      <c r="I148">
        <v>17</v>
      </c>
    </row>
    <row r="149" spans="1:9" x14ac:dyDescent="0.3">
      <c r="A149" t="s">
        <v>29</v>
      </c>
      <c r="B149" t="s">
        <v>18</v>
      </c>
      <c r="C149" t="s">
        <v>17</v>
      </c>
      <c r="D149" t="s">
        <v>25</v>
      </c>
      <c r="E149">
        <v>2534</v>
      </c>
      <c r="F149">
        <v>1545</v>
      </c>
      <c r="G149">
        <v>989</v>
      </c>
      <c r="H149">
        <v>72</v>
      </c>
      <c r="I149">
        <v>14</v>
      </c>
    </row>
    <row r="150" spans="1:9" x14ac:dyDescent="0.3">
      <c r="A150" t="s">
        <v>29</v>
      </c>
      <c r="B150" t="s">
        <v>11</v>
      </c>
      <c r="C150" t="s">
        <v>13</v>
      </c>
      <c r="D150" t="s">
        <v>21</v>
      </c>
      <c r="E150">
        <v>5988</v>
      </c>
      <c r="F150">
        <v>3139</v>
      </c>
      <c r="G150">
        <v>2849</v>
      </c>
      <c r="H150">
        <v>67</v>
      </c>
      <c r="I150">
        <v>12</v>
      </c>
    </row>
    <row r="151" spans="1:9" x14ac:dyDescent="0.3">
      <c r="A151" t="s">
        <v>29</v>
      </c>
      <c r="B151" t="s">
        <v>16</v>
      </c>
      <c r="C151" t="s">
        <v>20</v>
      </c>
      <c r="D151" t="s">
        <v>25</v>
      </c>
      <c r="E151">
        <v>7502</v>
      </c>
      <c r="F151">
        <v>4701</v>
      </c>
      <c r="G151">
        <v>2801</v>
      </c>
      <c r="H151">
        <v>109</v>
      </c>
      <c r="I151">
        <v>31</v>
      </c>
    </row>
    <row r="152" spans="1:9" x14ac:dyDescent="0.3">
      <c r="A152" t="s">
        <v>29</v>
      </c>
      <c r="B152" t="s">
        <v>16</v>
      </c>
      <c r="C152" t="s">
        <v>20</v>
      </c>
      <c r="D152" t="s">
        <v>25</v>
      </c>
      <c r="E152">
        <v>15092</v>
      </c>
      <c r="F152">
        <v>11249</v>
      </c>
      <c r="G152">
        <v>3843</v>
      </c>
      <c r="H152">
        <v>54</v>
      </c>
      <c r="I152">
        <v>49</v>
      </c>
    </row>
    <row r="153" spans="1:9" x14ac:dyDescent="0.3">
      <c r="A153" t="s">
        <v>29</v>
      </c>
      <c r="B153" t="s">
        <v>16</v>
      </c>
      <c r="C153" t="s">
        <v>20</v>
      </c>
      <c r="D153" t="s">
        <v>19</v>
      </c>
      <c r="E153">
        <v>17205</v>
      </c>
      <c r="F153">
        <v>11271</v>
      </c>
      <c r="G153">
        <v>5934</v>
      </c>
      <c r="H153">
        <v>80</v>
      </c>
      <c r="I153">
        <v>37</v>
      </c>
    </row>
    <row r="154" spans="1:9" x14ac:dyDescent="0.3">
      <c r="A154" t="s">
        <v>30</v>
      </c>
      <c r="B154" t="s">
        <v>18</v>
      </c>
      <c r="C154" t="s">
        <v>17</v>
      </c>
      <c r="D154" t="s">
        <v>19</v>
      </c>
      <c r="E154">
        <v>2415</v>
      </c>
      <c r="F154">
        <v>1230</v>
      </c>
      <c r="G154">
        <v>1185</v>
      </c>
      <c r="H154">
        <v>25</v>
      </c>
      <c r="I154">
        <v>23</v>
      </c>
    </row>
    <row r="155" spans="1:9" x14ac:dyDescent="0.3">
      <c r="A155" t="s">
        <v>30</v>
      </c>
      <c r="B155" t="s">
        <v>18</v>
      </c>
      <c r="C155" t="s">
        <v>17</v>
      </c>
      <c r="D155" t="s">
        <v>12</v>
      </c>
      <c r="E155">
        <v>5235</v>
      </c>
      <c r="F155">
        <v>2637</v>
      </c>
      <c r="G155">
        <v>2598</v>
      </c>
      <c r="H155">
        <v>27</v>
      </c>
      <c r="I155">
        <v>15</v>
      </c>
    </row>
    <row r="156" spans="1:9" x14ac:dyDescent="0.3">
      <c r="A156" t="s">
        <v>30</v>
      </c>
      <c r="B156" t="s">
        <v>16</v>
      </c>
      <c r="C156" t="s">
        <v>20</v>
      </c>
      <c r="D156" t="s">
        <v>14</v>
      </c>
      <c r="E156">
        <v>7391</v>
      </c>
      <c r="F156">
        <v>4804</v>
      </c>
      <c r="G156">
        <v>2587</v>
      </c>
      <c r="H156">
        <v>43</v>
      </c>
      <c r="I156">
        <v>19</v>
      </c>
    </row>
    <row r="157" spans="1:9" x14ac:dyDescent="0.3">
      <c r="A157" t="s">
        <v>30</v>
      </c>
      <c r="B157" t="s">
        <v>16</v>
      </c>
      <c r="C157" t="s">
        <v>20</v>
      </c>
      <c r="D157" t="s">
        <v>19</v>
      </c>
      <c r="E157">
        <v>21604</v>
      </c>
      <c r="F157">
        <v>11748</v>
      </c>
      <c r="G157">
        <v>9856</v>
      </c>
      <c r="H157">
        <v>86</v>
      </c>
      <c r="I157">
        <v>44</v>
      </c>
    </row>
    <row r="158" spans="1:9" x14ac:dyDescent="0.3">
      <c r="A158" t="s">
        <v>30</v>
      </c>
      <c r="B158" t="s">
        <v>16</v>
      </c>
      <c r="C158" t="s">
        <v>22</v>
      </c>
      <c r="D158" t="s">
        <v>12</v>
      </c>
      <c r="E158">
        <v>4228</v>
      </c>
      <c r="F158">
        <v>2741</v>
      </c>
      <c r="G158">
        <v>1487</v>
      </c>
      <c r="H158">
        <v>59</v>
      </c>
      <c r="I158">
        <v>14</v>
      </c>
    </row>
    <row r="159" spans="1:9" x14ac:dyDescent="0.3">
      <c r="A159" t="s">
        <v>30</v>
      </c>
      <c r="B159" t="s">
        <v>16</v>
      </c>
      <c r="C159" t="s">
        <v>20</v>
      </c>
      <c r="D159" t="s">
        <v>25</v>
      </c>
      <c r="E159">
        <v>23725</v>
      </c>
      <c r="F159">
        <v>15119</v>
      </c>
      <c r="G159">
        <v>8606</v>
      </c>
      <c r="H159">
        <v>87</v>
      </c>
      <c r="I159">
        <v>73</v>
      </c>
    </row>
    <row r="160" spans="1:9" x14ac:dyDescent="0.3">
      <c r="A160" t="s">
        <v>30</v>
      </c>
      <c r="B160" t="s">
        <v>16</v>
      </c>
      <c r="C160" t="s">
        <v>15</v>
      </c>
      <c r="D160" t="s">
        <v>25</v>
      </c>
      <c r="E160">
        <v>9729</v>
      </c>
      <c r="F160">
        <v>4947</v>
      </c>
      <c r="G160">
        <v>4782</v>
      </c>
      <c r="H160">
        <v>119</v>
      </c>
      <c r="I160">
        <v>47</v>
      </c>
    </row>
    <row r="161" spans="1:9" x14ac:dyDescent="0.3">
      <c r="A161" t="s">
        <v>30</v>
      </c>
      <c r="B161" t="s">
        <v>16</v>
      </c>
      <c r="C161" t="s">
        <v>22</v>
      </c>
      <c r="D161" t="s">
        <v>12</v>
      </c>
      <c r="E161">
        <v>27145</v>
      </c>
      <c r="F161">
        <v>13904</v>
      </c>
      <c r="G161">
        <v>13241</v>
      </c>
      <c r="H161">
        <v>70</v>
      </c>
      <c r="I161">
        <v>61</v>
      </c>
    </row>
    <row r="162" spans="1:9" x14ac:dyDescent="0.3">
      <c r="A162" t="s">
        <v>30</v>
      </c>
      <c r="B162" t="s">
        <v>11</v>
      </c>
      <c r="C162" t="s">
        <v>10</v>
      </c>
      <c r="D162" t="s">
        <v>21</v>
      </c>
      <c r="E162">
        <v>8700</v>
      </c>
      <c r="F162">
        <v>5624</v>
      </c>
      <c r="G162">
        <v>3076</v>
      </c>
      <c r="H162">
        <v>81</v>
      </c>
      <c r="I162">
        <v>50</v>
      </c>
    </row>
    <row r="163" spans="1:9" x14ac:dyDescent="0.3">
      <c r="A163" t="s">
        <v>30</v>
      </c>
      <c r="B163" t="s">
        <v>16</v>
      </c>
      <c r="C163" t="s">
        <v>20</v>
      </c>
      <c r="D163" t="s">
        <v>12</v>
      </c>
      <c r="E163">
        <v>17748</v>
      </c>
      <c r="F163">
        <v>11659</v>
      </c>
      <c r="G163">
        <v>6089</v>
      </c>
      <c r="H163">
        <v>79</v>
      </c>
      <c r="I163">
        <v>58</v>
      </c>
    </row>
    <row r="164" spans="1:9" x14ac:dyDescent="0.3">
      <c r="A164" t="s">
        <v>30</v>
      </c>
      <c r="B164" t="s">
        <v>24</v>
      </c>
      <c r="C164" t="s">
        <v>23</v>
      </c>
      <c r="D164" t="s">
        <v>21</v>
      </c>
      <c r="E164">
        <v>17667</v>
      </c>
      <c r="F164">
        <v>12584</v>
      </c>
      <c r="G164">
        <v>5083</v>
      </c>
      <c r="H164">
        <v>44</v>
      </c>
      <c r="I164">
        <v>39</v>
      </c>
    </row>
    <row r="165" spans="1:9" x14ac:dyDescent="0.3">
      <c r="A165" t="s">
        <v>30</v>
      </c>
      <c r="B165" t="s">
        <v>11</v>
      </c>
      <c r="C165" t="s">
        <v>13</v>
      </c>
      <c r="D165" t="s">
        <v>14</v>
      </c>
      <c r="E165">
        <v>4301</v>
      </c>
      <c r="F165">
        <v>2817</v>
      </c>
      <c r="G165">
        <v>1484</v>
      </c>
      <c r="H165">
        <v>27</v>
      </c>
      <c r="I165">
        <v>17</v>
      </c>
    </row>
    <row r="166" spans="1:9" x14ac:dyDescent="0.3">
      <c r="A166" t="s">
        <v>30</v>
      </c>
      <c r="B166" t="s">
        <v>11</v>
      </c>
      <c r="C166" t="s">
        <v>10</v>
      </c>
      <c r="D166" t="s">
        <v>21</v>
      </c>
      <c r="E166">
        <v>13797</v>
      </c>
      <c r="F166">
        <v>9999</v>
      </c>
      <c r="G166">
        <v>3798</v>
      </c>
      <c r="H166">
        <v>69</v>
      </c>
      <c r="I166">
        <v>63</v>
      </c>
    </row>
    <row r="167" spans="1:9" x14ac:dyDescent="0.3">
      <c r="A167" t="s">
        <v>30</v>
      </c>
      <c r="B167" t="s">
        <v>11</v>
      </c>
      <c r="C167" t="s">
        <v>13</v>
      </c>
      <c r="D167" t="s">
        <v>12</v>
      </c>
      <c r="E167">
        <v>15040</v>
      </c>
      <c r="F167">
        <v>8345</v>
      </c>
      <c r="G167">
        <v>6695</v>
      </c>
      <c r="H167">
        <v>94</v>
      </c>
      <c r="I167">
        <v>47</v>
      </c>
    </row>
    <row r="168" spans="1:9" x14ac:dyDescent="0.3">
      <c r="A168" t="s">
        <v>30</v>
      </c>
      <c r="B168" t="s">
        <v>11</v>
      </c>
      <c r="C168" t="s">
        <v>10</v>
      </c>
      <c r="D168" t="s">
        <v>25</v>
      </c>
      <c r="E168">
        <v>18040</v>
      </c>
      <c r="F168">
        <v>10506</v>
      </c>
      <c r="G168">
        <v>7534</v>
      </c>
      <c r="H168">
        <v>78</v>
      </c>
      <c r="I168">
        <v>55</v>
      </c>
    </row>
    <row r="169" spans="1:9" x14ac:dyDescent="0.3">
      <c r="A169" t="s">
        <v>30</v>
      </c>
      <c r="B169" t="s">
        <v>16</v>
      </c>
      <c r="C169" t="s">
        <v>20</v>
      </c>
      <c r="D169" t="s">
        <v>25</v>
      </c>
      <c r="E169">
        <v>9415</v>
      </c>
      <c r="F169">
        <v>5341</v>
      </c>
      <c r="G169">
        <v>4074</v>
      </c>
      <c r="H169">
        <v>120</v>
      </c>
      <c r="I169">
        <v>35</v>
      </c>
    </row>
    <row r="170" spans="1:9" x14ac:dyDescent="0.3">
      <c r="A170" t="s">
        <v>30</v>
      </c>
      <c r="B170" t="s">
        <v>16</v>
      </c>
      <c r="C170" t="s">
        <v>22</v>
      </c>
      <c r="D170" t="s">
        <v>12</v>
      </c>
      <c r="E170">
        <v>6194</v>
      </c>
      <c r="F170">
        <v>3526</v>
      </c>
      <c r="G170">
        <v>2668</v>
      </c>
      <c r="H170">
        <v>48</v>
      </c>
      <c r="I170">
        <v>38</v>
      </c>
    </row>
    <row r="171" spans="1:9" x14ac:dyDescent="0.3">
      <c r="A171" t="s">
        <v>30</v>
      </c>
      <c r="B171" t="s">
        <v>24</v>
      </c>
      <c r="C171" t="s">
        <v>23</v>
      </c>
      <c r="D171" t="s">
        <v>14</v>
      </c>
      <c r="E171">
        <v>6760</v>
      </c>
      <c r="F171">
        <v>3762</v>
      </c>
      <c r="G171">
        <v>2998</v>
      </c>
      <c r="H171">
        <v>90</v>
      </c>
      <c r="I171">
        <v>26</v>
      </c>
    </row>
    <row r="172" spans="1:9" x14ac:dyDescent="0.3">
      <c r="A172" t="s">
        <v>30</v>
      </c>
      <c r="B172" t="s">
        <v>16</v>
      </c>
      <c r="C172" t="s">
        <v>15</v>
      </c>
      <c r="D172" t="s">
        <v>19</v>
      </c>
      <c r="E172">
        <v>20976</v>
      </c>
      <c r="F172">
        <v>16239</v>
      </c>
      <c r="G172">
        <v>4737</v>
      </c>
      <c r="H172">
        <v>77</v>
      </c>
      <c r="I172">
        <v>48</v>
      </c>
    </row>
    <row r="173" spans="1:9" x14ac:dyDescent="0.3">
      <c r="A173" t="s">
        <v>30</v>
      </c>
      <c r="B173" t="s">
        <v>16</v>
      </c>
      <c r="C173" t="s">
        <v>15</v>
      </c>
      <c r="D173" t="s">
        <v>12</v>
      </c>
      <c r="E173">
        <v>21372</v>
      </c>
      <c r="F173">
        <v>15536</v>
      </c>
      <c r="G173">
        <v>5836</v>
      </c>
      <c r="H173">
        <v>101</v>
      </c>
      <c r="I173">
        <v>52</v>
      </c>
    </row>
    <row r="174" spans="1:9" x14ac:dyDescent="0.3">
      <c r="A174" t="s">
        <v>30</v>
      </c>
      <c r="B174" t="s">
        <v>16</v>
      </c>
      <c r="C174" t="s">
        <v>20</v>
      </c>
      <c r="D174" t="s">
        <v>21</v>
      </c>
      <c r="E174">
        <v>3392</v>
      </c>
      <c r="F174">
        <v>1925</v>
      </c>
      <c r="G174">
        <v>1467</v>
      </c>
      <c r="H174">
        <v>85</v>
      </c>
      <c r="I174">
        <v>32</v>
      </c>
    </row>
    <row r="175" spans="1:9" x14ac:dyDescent="0.3">
      <c r="A175" t="s">
        <v>30</v>
      </c>
      <c r="B175" t="s">
        <v>11</v>
      </c>
      <c r="C175" t="s">
        <v>10</v>
      </c>
      <c r="D175" t="s">
        <v>21</v>
      </c>
      <c r="E175">
        <v>9390</v>
      </c>
      <c r="F175">
        <v>6552</v>
      </c>
      <c r="G175">
        <v>2838</v>
      </c>
      <c r="H175">
        <v>40</v>
      </c>
      <c r="I175">
        <v>30</v>
      </c>
    </row>
    <row r="176" spans="1:9" x14ac:dyDescent="0.3">
      <c r="A176" t="s">
        <v>30</v>
      </c>
      <c r="B176" t="s">
        <v>16</v>
      </c>
      <c r="C176" t="s">
        <v>15</v>
      </c>
      <c r="D176" t="s">
        <v>21</v>
      </c>
      <c r="E176">
        <v>10335</v>
      </c>
      <c r="F176">
        <v>7808</v>
      </c>
      <c r="G176">
        <v>2527</v>
      </c>
      <c r="H176">
        <v>77</v>
      </c>
      <c r="I176">
        <v>53</v>
      </c>
    </row>
    <row r="177" spans="1:9" x14ac:dyDescent="0.3">
      <c r="A177" t="s">
        <v>30</v>
      </c>
      <c r="B177" t="s">
        <v>18</v>
      </c>
      <c r="C177" t="s">
        <v>17</v>
      </c>
      <c r="D177" t="s">
        <v>19</v>
      </c>
      <c r="E177">
        <v>9360</v>
      </c>
      <c r="F177">
        <v>6701</v>
      </c>
      <c r="G177">
        <v>2659</v>
      </c>
      <c r="H177">
        <v>27</v>
      </c>
      <c r="I177">
        <v>20</v>
      </c>
    </row>
    <row r="178" spans="1:9" x14ac:dyDescent="0.3">
      <c r="A178" t="s">
        <v>30</v>
      </c>
      <c r="B178" t="s">
        <v>16</v>
      </c>
      <c r="C178" t="s">
        <v>20</v>
      </c>
      <c r="D178" t="s">
        <v>12</v>
      </c>
      <c r="E178">
        <v>16884</v>
      </c>
      <c r="F178">
        <v>11220</v>
      </c>
      <c r="G178">
        <v>5664</v>
      </c>
      <c r="H178">
        <v>54</v>
      </c>
      <c r="I178">
        <v>36</v>
      </c>
    </row>
    <row r="179" spans="1:9" x14ac:dyDescent="0.3">
      <c r="A179" t="s">
        <v>30</v>
      </c>
      <c r="B179" t="s">
        <v>11</v>
      </c>
      <c r="C179" t="s">
        <v>10</v>
      </c>
      <c r="D179" t="s">
        <v>14</v>
      </c>
      <c r="E179">
        <v>8820</v>
      </c>
      <c r="F179">
        <v>5019</v>
      </c>
      <c r="G179">
        <v>3801</v>
      </c>
      <c r="H179">
        <v>49</v>
      </c>
      <c r="I179">
        <v>36</v>
      </c>
    </row>
    <row r="180" spans="1:9" x14ac:dyDescent="0.3">
      <c r="A180" t="s">
        <v>30</v>
      </c>
      <c r="B180" t="s">
        <v>24</v>
      </c>
      <c r="C180" t="s">
        <v>23</v>
      </c>
      <c r="D180" t="s">
        <v>25</v>
      </c>
      <c r="E180">
        <v>8815</v>
      </c>
      <c r="F180">
        <v>4866</v>
      </c>
      <c r="G180">
        <v>3949</v>
      </c>
      <c r="H180">
        <v>53</v>
      </c>
      <c r="I180">
        <v>43</v>
      </c>
    </row>
    <row r="181" spans="1:9" x14ac:dyDescent="0.3">
      <c r="A181" t="s">
        <v>30</v>
      </c>
      <c r="B181" t="s">
        <v>16</v>
      </c>
      <c r="C181" t="s">
        <v>20</v>
      </c>
      <c r="D181" t="s">
        <v>25</v>
      </c>
      <c r="E181">
        <v>10444</v>
      </c>
      <c r="F181">
        <v>6181</v>
      </c>
      <c r="G181">
        <v>4263</v>
      </c>
      <c r="H181">
        <v>29</v>
      </c>
      <c r="I181">
        <v>28</v>
      </c>
    </row>
    <row r="182" spans="1:9" x14ac:dyDescent="0.3">
      <c r="A182" t="s">
        <v>30</v>
      </c>
      <c r="B182" t="s">
        <v>16</v>
      </c>
      <c r="C182" t="s">
        <v>22</v>
      </c>
      <c r="D182" t="s">
        <v>21</v>
      </c>
      <c r="E182">
        <v>5868</v>
      </c>
      <c r="F182">
        <v>3090</v>
      </c>
      <c r="G182">
        <v>2778</v>
      </c>
      <c r="H182">
        <v>38</v>
      </c>
      <c r="I182">
        <v>36</v>
      </c>
    </row>
    <row r="183" spans="1:9" x14ac:dyDescent="0.3">
      <c r="A183" t="s">
        <v>30</v>
      </c>
      <c r="B183" t="s">
        <v>16</v>
      </c>
      <c r="C183" t="s">
        <v>15</v>
      </c>
      <c r="D183" t="s">
        <v>25</v>
      </c>
      <c r="E183">
        <v>9840</v>
      </c>
      <c r="F183">
        <v>5716</v>
      </c>
      <c r="G183">
        <v>4124</v>
      </c>
      <c r="H183">
        <v>38</v>
      </c>
      <c r="I183">
        <v>20</v>
      </c>
    </row>
    <row r="184" spans="1:9" x14ac:dyDescent="0.3">
      <c r="A184" t="s">
        <v>31</v>
      </c>
      <c r="B184" t="s">
        <v>24</v>
      </c>
      <c r="C184" t="s">
        <v>23</v>
      </c>
      <c r="D184" t="s">
        <v>21</v>
      </c>
      <c r="E184">
        <v>9648</v>
      </c>
      <c r="F184">
        <v>7381</v>
      </c>
      <c r="G184">
        <v>2267</v>
      </c>
      <c r="H184">
        <v>61</v>
      </c>
      <c r="I184">
        <v>24</v>
      </c>
    </row>
    <row r="185" spans="1:9" x14ac:dyDescent="0.3">
      <c r="A185" t="s">
        <v>31</v>
      </c>
      <c r="B185" t="s">
        <v>11</v>
      </c>
      <c r="C185" t="s">
        <v>13</v>
      </c>
      <c r="D185" t="s">
        <v>21</v>
      </c>
      <c r="E185">
        <v>13984</v>
      </c>
      <c r="F185">
        <v>9891</v>
      </c>
      <c r="G185">
        <v>4093</v>
      </c>
      <c r="H185">
        <v>120</v>
      </c>
      <c r="I185">
        <v>32</v>
      </c>
    </row>
    <row r="186" spans="1:9" x14ac:dyDescent="0.3">
      <c r="A186" t="s">
        <v>31</v>
      </c>
      <c r="B186" t="s">
        <v>16</v>
      </c>
      <c r="C186" t="s">
        <v>15</v>
      </c>
      <c r="D186" t="s">
        <v>25</v>
      </c>
      <c r="E186">
        <v>5894</v>
      </c>
      <c r="F186">
        <v>3693</v>
      </c>
      <c r="G186">
        <v>2201</v>
      </c>
      <c r="H186">
        <v>109</v>
      </c>
      <c r="I186">
        <v>14</v>
      </c>
    </row>
    <row r="187" spans="1:9" x14ac:dyDescent="0.3">
      <c r="A187" t="s">
        <v>31</v>
      </c>
      <c r="B187" t="s">
        <v>16</v>
      </c>
      <c r="C187" t="s">
        <v>15</v>
      </c>
      <c r="D187" t="s">
        <v>12</v>
      </c>
      <c r="E187">
        <v>4131</v>
      </c>
      <c r="F187">
        <v>2600</v>
      </c>
      <c r="G187">
        <v>1531</v>
      </c>
      <c r="H187">
        <v>44</v>
      </c>
      <c r="I187">
        <v>27</v>
      </c>
    </row>
    <row r="188" spans="1:9" x14ac:dyDescent="0.3">
      <c r="A188" t="s">
        <v>31</v>
      </c>
      <c r="B188" t="s">
        <v>11</v>
      </c>
      <c r="C188" t="s">
        <v>10</v>
      </c>
      <c r="D188" t="s">
        <v>21</v>
      </c>
      <c r="E188">
        <v>14280</v>
      </c>
      <c r="F188">
        <v>9124</v>
      </c>
      <c r="G188">
        <v>5156</v>
      </c>
      <c r="H188">
        <v>111</v>
      </c>
      <c r="I188">
        <v>56</v>
      </c>
    </row>
    <row r="189" spans="1:9" x14ac:dyDescent="0.3">
      <c r="A189" t="s">
        <v>31</v>
      </c>
      <c r="B189" t="s">
        <v>16</v>
      </c>
      <c r="C189" t="s">
        <v>15</v>
      </c>
      <c r="D189" t="s">
        <v>12</v>
      </c>
      <c r="E189">
        <v>4947</v>
      </c>
      <c r="F189">
        <v>3838</v>
      </c>
      <c r="G189">
        <v>1109</v>
      </c>
      <c r="H189">
        <v>27</v>
      </c>
      <c r="I189">
        <v>17</v>
      </c>
    </row>
    <row r="190" spans="1:9" x14ac:dyDescent="0.3">
      <c r="A190" t="s">
        <v>31</v>
      </c>
      <c r="B190" t="s">
        <v>11</v>
      </c>
      <c r="C190" t="s">
        <v>10</v>
      </c>
      <c r="D190" t="s">
        <v>25</v>
      </c>
      <c r="E190">
        <v>3612</v>
      </c>
      <c r="F190">
        <v>2145</v>
      </c>
      <c r="G190">
        <v>1467</v>
      </c>
      <c r="H190">
        <v>23</v>
      </c>
      <c r="I190">
        <v>14</v>
      </c>
    </row>
    <row r="191" spans="1:9" x14ac:dyDescent="0.3">
      <c r="A191" t="s">
        <v>31</v>
      </c>
      <c r="B191" t="s">
        <v>16</v>
      </c>
      <c r="C191" t="s">
        <v>22</v>
      </c>
      <c r="D191" t="s">
        <v>12</v>
      </c>
      <c r="E191">
        <v>3354</v>
      </c>
      <c r="F191">
        <v>1803</v>
      </c>
      <c r="G191">
        <v>1551</v>
      </c>
      <c r="H191">
        <v>100</v>
      </c>
      <c r="I191">
        <v>26</v>
      </c>
    </row>
    <row r="192" spans="1:9" x14ac:dyDescent="0.3">
      <c r="A192" t="s">
        <v>31</v>
      </c>
      <c r="B192" t="s">
        <v>24</v>
      </c>
      <c r="C192" t="s">
        <v>23</v>
      </c>
      <c r="D192" t="s">
        <v>21</v>
      </c>
      <c r="E192">
        <v>4284</v>
      </c>
      <c r="F192">
        <v>2206</v>
      </c>
      <c r="G192">
        <v>2078</v>
      </c>
      <c r="H192">
        <v>52</v>
      </c>
      <c r="I192">
        <v>12</v>
      </c>
    </row>
    <row r="193" spans="1:9" x14ac:dyDescent="0.3">
      <c r="A193" t="s">
        <v>31</v>
      </c>
      <c r="B193" t="s">
        <v>18</v>
      </c>
      <c r="C193" t="s">
        <v>17</v>
      </c>
      <c r="D193" t="s">
        <v>19</v>
      </c>
      <c r="E193">
        <v>6034</v>
      </c>
      <c r="F193">
        <v>4302</v>
      </c>
      <c r="G193">
        <v>1732</v>
      </c>
      <c r="H193">
        <v>70</v>
      </c>
      <c r="I193">
        <v>14</v>
      </c>
    </row>
    <row r="194" spans="1:9" x14ac:dyDescent="0.3">
      <c r="A194" t="s">
        <v>31</v>
      </c>
      <c r="B194" t="s">
        <v>16</v>
      </c>
      <c r="C194" t="s">
        <v>20</v>
      </c>
      <c r="D194" t="s">
        <v>14</v>
      </c>
      <c r="E194">
        <v>4922</v>
      </c>
      <c r="F194">
        <v>3313</v>
      </c>
      <c r="G194">
        <v>1609</v>
      </c>
      <c r="H194">
        <v>91</v>
      </c>
      <c r="I194">
        <v>23</v>
      </c>
    </row>
    <row r="195" spans="1:9" x14ac:dyDescent="0.3">
      <c r="A195" t="s">
        <v>31</v>
      </c>
      <c r="B195" t="s">
        <v>11</v>
      </c>
      <c r="C195" t="s">
        <v>10</v>
      </c>
      <c r="D195" t="s">
        <v>12</v>
      </c>
      <c r="E195">
        <v>17675</v>
      </c>
      <c r="F195">
        <v>11147</v>
      </c>
      <c r="G195">
        <v>6528</v>
      </c>
      <c r="H195">
        <v>120</v>
      </c>
      <c r="I195">
        <v>101</v>
      </c>
    </row>
    <row r="196" spans="1:9" x14ac:dyDescent="0.3">
      <c r="A196" t="s">
        <v>31</v>
      </c>
      <c r="B196" t="s">
        <v>16</v>
      </c>
      <c r="C196" t="s">
        <v>20</v>
      </c>
      <c r="D196" t="s">
        <v>14</v>
      </c>
      <c r="E196">
        <v>16704</v>
      </c>
      <c r="F196">
        <v>11923</v>
      </c>
      <c r="G196">
        <v>4781</v>
      </c>
      <c r="H196">
        <v>91</v>
      </c>
      <c r="I196">
        <v>87</v>
      </c>
    </row>
    <row r="197" spans="1:9" x14ac:dyDescent="0.3">
      <c r="A197" t="s">
        <v>31</v>
      </c>
      <c r="B197" t="s">
        <v>11</v>
      </c>
      <c r="C197" t="s">
        <v>13</v>
      </c>
      <c r="D197" t="s">
        <v>19</v>
      </c>
      <c r="E197">
        <v>5446</v>
      </c>
      <c r="F197">
        <v>3581</v>
      </c>
      <c r="G197">
        <v>1865</v>
      </c>
      <c r="H197">
        <v>63</v>
      </c>
      <c r="I197">
        <v>14</v>
      </c>
    </row>
    <row r="198" spans="1:9" x14ac:dyDescent="0.3">
      <c r="A198" t="s">
        <v>31</v>
      </c>
      <c r="B198" t="s">
        <v>16</v>
      </c>
      <c r="C198" t="s">
        <v>22</v>
      </c>
      <c r="D198" t="s">
        <v>21</v>
      </c>
      <c r="E198">
        <v>9028</v>
      </c>
      <c r="F198">
        <v>5345</v>
      </c>
      <c r="G198">
        <v>3683</v>
      </c>
      <c r="H198">
        <v>56</v>
      </c>
      <c r="I198">
        <v>37</v>
      </c>
    </row>
    <row r="199" spans="1:9" x14ac:dyDescent="0.3">
      <c r="A199" t="s">
        <v>31</v>
      </c>
      <c r="B199" t="s">
        <v>11</v>
      </c>
      <c r="C199" t="s">
        <v>13</v>
      </c>
      <c r="D199" t="s">
        <v>14</v>
      </c>
      <c r="E199">
        <v>31746</v>
      </c>
      <c r="F199">
        <v>16647</v>
      </c>
      <c r="G199">
        <v>15099</v>
      </c>
      <c r="H199">
        <v>85</v>
      </c>
      <c r="I199">
        <v>78</v>
      </c>
    </row>
    <row r="200" spans="1:9" x14ac:dyDescent="0.3">
      <c r="A200" t="s">
        <v>31</v>
      </c>
      <c r="B200" t="s">
        <v>16</v>
      </c>
      <c r="C200" t="s">
        <v>22</v>
      </c>
      <c r="D200" t="s">
        <v>12</v>
      </c>
      <c r="E200">
        <v>34950</v>
      </c>
      <c r="F200">
        <v>24915</v>
      </c>
      <c r="G200">
        <v>10035</v>
      </c>
      <c r="H200">
        <v>77</v>
      </c>
      <c r="I200">
        <v>75</v>
      </c>
    </row>
    <row r="201" spans="1:9" x14ac:dyDescent="0.3">
      <c r="A201" t="s">
        <v>31</v>
      </c>
      <c r="B201" t="s">
        <v>16</v>
      </c>
      <c r="C201" t="s">
        <v>15</v>
      </c>
      <c r="D201" t="s">
        <v>25</v>
      </c>
      <c r="E201">
        <v>25576</v>
      </c>
      <c r="F201">
        <v>14782</v>
      </c>
      <c r="G201">
        <v>10794</v>
      </c>
      <c r="H201">
        <v>118</v>
      </c>
      <c r="I201">
        <v>92</v>
      </c>
    </row>
    <row r="202" spans="1:9" x14ac:dyDescent="0.3">
      <c r="A202" t="s">
        <v>31</v>
      </c>
      <c r="B202" t="s">
        <v>16</v>
      </c>
      <c r="C202" t="s">
        <v>20</v>
      </c>
      <c r="D202" t="s">
        <v>19</v>
      </c>
      <c r="E202">
        <v>8177</v>
      </c>
      <c r="F202">
        <v>6373</v>
      </c>
      <c r="G202">
        <v>1804</v>
      </c>
      <c r="H202">
        <v>28</v>
      </c>
      <c r="I202">
        <v>17</v>
      </c>
    </row>
    <row r="203" spans="1:9" x14ac:dyDescent="0.3">
      <c r="A203" t="s">
        <v>31</v>
      </c>
      <c r="B203" t="s">
        <v>16</v>
      </c>
      <c r="C203" t="s">
        <v>20</v>
      </c>
      <c r="D203" t="s">
        <v>12</v>
      </c>
      <c r="E203">
        <v>3799</v>
      </c>
      <c r="F203">
        <v>1913</v>
      </c>
      <c r="G203">
        <v>1886</v>
      </c>
      <c r="H203">
        <v>50</v>
      </c>
      <c r="I203">
        <v>29</v>
      </c>
    </row>
    <row r="204" spans="1:9" x14ac:dyDescent="0.3">
      <c r="A204" t="s">
        <v>31</v>
      </c>
      <c r="B204" t="s">
        <v>24</v>
      </c>
      <c r="C204" t="s">
        <v>23</v>
      </c>
      <c r="D204" t="s">
        <v>21</v>
      </c>
      <c r="E204">
        <v>7327</v>
      </c>
      <c r="F204">
        <v>5566</v>
      </c>
      <c r="G204">
        <v>1761</v>
      </c>
      <c r="H204">
        <v>20</v>
      </c>
      <c r="I204">
        <v>17</v>
      </c>
    </row>
    <row r="205" spans="1:9" x14ac:dyDescent="0.3">
      <c r="A205" t="s">
        <v>31</v>
      </c>
      <c r="B205" t="s">
        <v>18</v>
      </c>
      <c r="C205" t="s">
        <v>17</v>
      </c>
      <c r="D205" t="s">
        <v>19</v>
      </c>
      <c r="E205">
        <v>27573</v>
      </c>
      <c r="F205">
        <v>20439</v>
      </c>
      <c r="G205">
        <v>7134</v>
      </c>
      <c r="H205">
        <v>106</v>
      </c>
      <c r="I205">
        <v>91</v>
      </c>
    </row>
    <row r="206" spans="1:9" x14ac:dyDescent="0.3">
      <c r="A206" t="s">
        <v>31</v>
      </c>
      <c r="B206" t="s">
        <v>16</v>
      </c>
      <c r="C206" t="s">
        <v>22</v>
      </c>
      <c r="D206" t="s">
        <v>25</v>
      </c>
      <c r="E206">
        <v>18520</v>
      </c>
      <c r="F206">
        <v>14271</v>
      </c>
      <c r="G206">
        <v>4249</v>
      </c>
      <c r="H206">
        <v>86</v>
      </c>
      <c r="I206">
        <v>40</v>
      </c>
    </row>
    <row r="207" spans="1:9" x14ac:dyDescent="0.3">
      <c r="A207" t="s">
        <v>31</v>
      </c>
      <c r="B207" t="s">
        <v>16</v>
      </c>
      <c r="C207" t="s">
        <v>20</v>
      </c>
      <c r="D207" t="s">
        <v>19</v>
      </c>
      <c r="E207">
        <v>3490</v>
      </c>
      <c r="F207">
        <v>2497</v>
      </c>
      <c r="G207">
        <v>993</v>
      </c>
      <c r="H207">
        <v>20</v>
      </c>
      <c r="I207">
        <v>10</v>
      </c>
    </row>
    <row r="208" spans="1:9" x14ac:dyDescent="0.3">
      <c r="A208" t="s">
        <v>31</v>
      </c>
      <c r="B208" t="s">
        <v>16</v>
      </c>
      <c r="C208" t="s">
        <v>22</v>
      </c>
      <c r="D208" t="s">
        <v>21</v>
      </c>
      <c r="E208">
        <v>17160</v>
      </c>
      <c r="F208">
        <v>9423</v>
      </c>
      <c r="G208">
        <v>7737</v>
      </c>
      <c r="H208">
        <v>47</v>
      </c>
      <c r="I208">
        <v>39</v>
      </c>
    </row>
    <row r="209" spans="1:9" x14ac:dyDescent="0.3">
      <c r="A209" t="s">
        <v>31</v>
      </c>
      <c r="B209" t="s">
        <v>16</v>
      </c>
      <c r="C209" t="s">
        <v>20</v>
      </c>
      <c r="D209" t="s">
        <v>12</v>
      </c>
      <c r="E209">
        <v>14400</v>
      </c>
      <c r="F209">
        <v>10103</v>
      </c>
      <c r="G209">
        <v>4297</v>
      </c>
      <c r="H209">
        <v>65</v>
      </c>
      <c r="I209">
        <v>32</v>
      </c>
    </row>
    <row r="210" spans="1:9" x14ac:dyDescent="0.3">
      <c r="A210" t="s">
        <v>31</v>
      </c>
      <c r="B210" t="s">
        <v>24</v>
      </c>
      <c r="C210" t="s">
        <v>23</v>
      </c>
      <c r="D210" t="s">
        <v>19</v>
      </c>
      <c r="E210">
        <v>1212</v>
      </c>
      <c r="F210">
        <v>704</v>
      </c>
      <c r="G210">
        <v>508</v>
      </c>
      <c r="H210">
        <v>29</v>
      </c>
      <c r="I210">
        <v>12</v>
      </c>
    </row>
    <row r="211" spans="1:9" x14ac:dyDescent="0.3">
      <c r="A211" t="s">
        <v>31</v>
      </c>
      <c r="B211" t="s">
        <v>16</v>
      </c>
      <c r="C211" t="s">
        <v>20</v>
      </c>
      <c r="D211" t="s">
        <v>25</v>
      </c>
      <c r="E211">
        <v>4500</v>
      </c>
      <c r="F211">
        <v>2721</v>
      </c>
      <c r="G211">
        <v>1779</v>
      </c>
      <c r="H211">
        <v>74</v>
      </c>
      <c r="I211">
        <v>15</v>
      </c>
    </row>
    <row r="212" spans="1:9" x14ac:dyDescent="0.3">
      <c r="A212" t="s">
        <v>31</v>
      </c>
      <c r="B212" t="s">
        <v>16</v>
      </c>
      <c r="C212" t="s">
        <v>22</v>
      </c>
      <c r="D212" t="s">
        <v>12</v>
      </c>
      <c r="E212">
        <v>8180</v>
      </c>
      <c r="F212">
        <v>6354</v>
      </c>
      <c r="G212">
        <v>1826</v>
      </c>
      <c r="H212">
        <v>76</v>
      </c>
      <c r="I212">
        <v>20</v>
      </c>
    </row>
    <row r="213" spans="1:9" x14ac:dyDescent="0.3">
      <c r="A213" t="s">
        <v>31</v>
      </c>
      <c r="B213" t="s">
        <v>16</v>
      </c>
      <c r="C213" t="s">
        <v>20</v>
      </c>
      <c r="D213" t="s">
        <v>25</v>
      </c>
      <c r="E213">
        <v>4500</v>
      </c>
      <c r="F213">
        <v>2647</v>
      </c>
      <c r="G213">
        <v>1853</v>
      </c>
      <c r="H213">
        <v>39</v>
      </c>
      <c r="I213">
        <v>15</v>
      </c>
    </row>
    <row r="214" spans="1:9" x14ac:dyDescent="0.3">
      <c r="A214" t="s">
        <v>31</v>
      </c>
      <c r="B214" t="s">
        <v>24</v>
      </c>
      <c r="C214" t="s">
        <v>23</v>
      </c>
      <c r="D214" t="s">
        <v>12</v>
      </c>
      <c r="E214">
        <v>33872</v>
      </c>
      <c r="F214">
        <v>20317</v>
      </c>
      <c r="G214">
        <v>13555</v>
      </c>
      <c r="H214">
        <v>89</v>
      </c>
      <c r="I214">
        <v>73</v>
      </c>
    </row>
    <row r="215" spans="1:9" x14ac:dyDescent="0.3">
      <c r="A215" t="s">
        <v>32</v>
      </c>
      <c r="B215" t="s">
        <v>16</v>
      </c>
      <c r="C215" t="s">
        <v>15</v>
      </c>
      <c r="D215" t="s">
        <v>12</v>
      </c>
      <c r="E215">
        <v>5143</v>
      </c>
      <c r="F215">
        <v>3862</v>
      </c>
      <c r="G215">
        <v>1281</v>
      </c>
      <c r="H215">
        <v>45</v>
      </c>
      <c r="I215">
        <v>37</v>
      </c>
    </row>
    <row r="216" spans="1:9" x14ac:dyDescent="0.3">
      <c r="A216" t="s">
        <v>32</v>
      </c>
      <c r="B216" t="s">
        <v>16</v>
      </c>
      <c r="C216" t="s">
        <v>22</v>
      </c>
      <c r="D216" t="s">
        <v>12</v>
      </c>
      <c r="E216">
        <v>10975</v>
      </c>
      <c r="F216">
        <v>8645</v>
      </c>
      <c r="G216">
        <v>2330</v>
      </c>
      <c r="H216">
        <v>85</v>
      </c>
      <c r="I216">
        <v>25</v>
      </c>
    </row>
    <row r="217" spans="1:9" x14ac:dyDescent="0.3">
      <c r="A217" t="s">
        <v>32</v>
      </c>
      <c r="B217" t="s">
        <v>24</v>
      </c>
      <c r="C217" t="s">
        <v>23</v>
      </c>
      <c r="D217" t="s">
        <v>25</v>
      </c>
      <c r="E217">
        <v>6103</v>
      </c>
      <c r="F217">
        <v>4576</v>
      </c>
      <c r="G217">
        <v>1527</v>
      </c>
      <c r="H217">
        <v>42</v>
      </c>
      <c r="I217">
        <v>17</v>
      </c>
    </row>
    <row r="218" spans="1:9" x14ac:dyDescent="0.3">
      <c r="A218" t="s">
        <v>32</v>
      </c>
      <c r="B218" t="s">
        <v>24</v>
      </c>
      <c r="C218" t="s">
        <v>23</v>
      </c>
      <c r="D218" t="s">
        <v>25</v>
      </c>
      <c r="E218">
        <v>5550</v>
      </c>
      <c r="F218">
        <v>4180</v>
      </c>
      <c r="G218">
        <v>1370</v>
      </c>
      <c r="H218">
        <v>72</v>
      </c>
      <c r="I218">
        <v>15</v>
      </c>
    </row>
    <row r="219" spans="1:9" x14ac:dyDescent="0.3">
      <c r="A219" t="s">
        <v>32</v>
      </c>
      <c r="B219" t="s">
        <v>24</v>
      </c>
      <c r="C219" t="s">
        <v>23</v>
      </c>
      <c r="D219" t="s">
        <v>25</v>
      </c>
      <c r="E219">
        <v>11628</v>
      </c>
      <c r="F219">
        <v>6393</v>
      </c>
      <c r="G219">
        <v>5235</v>
      </c>
      <c r="H219">
        <v>97</v>
      </c>
      <c r="I219">
        <v>57</v>
      </c>
    </row>
    <row r="220" spans="1:9" x14ac:dyDescent="0.3">
      <c r="A220" t="s">
        <v>32</v>
      </c>
      <c r="B220" t="s">
        <v>16</v>
      </c>
      <c r="C220" t="s">
        <v>20</v>
      </c>
      <c r="D220" t="s">
        <v>21</v>
      </c>
      <c r="E220">
        <v>9022</v>
      </c>
      <c r="F220">
        <v>6351</v>
      </c>
      <c r="G220">
        <v>2671</v>
      </c>
      <c r="H220">
        <v>53</v>
      </c>
      <c r="I220">
        <v>26</v>
      </c>
    </row>
    <row r="221" spans="1:9" x14ac:dyDescent="0.3">
      <c r="A221" t="s">
        <v>32</v>
      </c>
      <c r="B221" t="s">
        <v>11</v>
      </c>
      <c r="C221" t="s">
        <v>10</v>
      </c>
      <c r="D221" t="s">
        <v>21</v>
      </c>
      <c r="E221">
        <v>2760</v>
      </c>
      <c r="F221">
        <v>1454</v>
      </c>
      <c r="G221">
        <v>1306</v>
      </c>
      <c r="H221">
        <v>80</v>
      </c>
      <c r="I221">
        <v>20</v>
      </c>
    </row>
    <row r="222" spans="1:9" x14ac:dyDescent="0.3">
      <c r="A222" t="s">
        <v>32</v>
      </c>
      <c r="B222" t="s">
        <v>16</v>
      </c>
      <c r="C222" t="s">
        <v>22</v>
      </c>
      <c r="D222" t="s">
        <v>25</v>
      </c>
      <c r="E222">
        <v>10944</v>
      </c>
      <c r="F222">
        <v>8608</v>
      </c>
      <c r="G222">
        <v>2336</v>
      </c>
      <c r="H222">
        <v>73</v>
      </c>
      <c r="I222">
        <v>24</v>
      </c>
    </row>
    <row r="223" spans="1:9" x14ac:dyDescent="0.3">
      <c r="A223" t="s">
        <v>32</v>
      </c>
      <c r="B223" t="s">
        <v>16</v>
      </c>
      <c r="C223" t="s">
        <v>20</v>
      </c>
      <c r="D223" t="s">
        <v>12</v>
      </c>
      <c r="E223">
        <v>3504</v>
      </c>
      <c r="F223">
        <v>1787</v>
      </c>
      <c r="G223">
        <v>1717</v>
      </c>
      <c r="H223">
        <v>87</v>
      </c>
      <c r="I223">
        <v>12</v>
      </c>
    </row>
    <row r="224" spans="1:9" x14ac:dyDescent="0.3">
      <c r="A224" t="s">
        <v>32</v>
      </c>
      <c r="B224" t="s">
        <v>16</v>
      </c>
      <c r="C224" t="s">
        <v>15</v>
      </c>
      <c r="D224" t="s">
        <v>25</v>
      </c>
      <c r="E224">
        <v>4320</v>
      </c>
      <c r="F224">
        <v>2783</v>
      </c>
      <c r="G224">
        <v>1537</v>
      </c>
      <c r="H224">
        <v>94</v>
      </c>
      <c r="I224">
        <v>32</v>
      </c>
    </row>
    <row r="225" spans="1:9" x14ac:dyDescent="0.3">
      <c r="A225" t="s">
        <v>32</v>
      </c>
      <c r="B225" t="s">
        <v>11</v>
      </c>
      <c r="C225" t="s">
        <v>13</v>
      </c>
      <c r="D225" t="s">
        <v>25</v>
      </c>
      <c r="E225">
        <v>19465</v>
      </c>
      <c r="F225">
        <v>10804</v>
      </c>
      <c r="G225">
        <v>8661</v>
      </c>
      <c r="H225">
        <v>87</v>
      </c>
      <c r="I225">
        <v>85</v>
      </c>
    </row>
    <row r="226" spans="1:9" x14ac:dyDescent="0.3">
      <c r="A226" t="s">
        <v>32</v>
      </c>
      <c r="B226" t="s">
        <v>16</v>
      </c>
      <c r="C226" t="s">
        <v>20</v>
      </c>
      <c r="D226" t="s">
        <v>12</v>
      </c>
      <c r="E226">
        <v>6468</v>
      </c>
      <c r="F226">
        <v>4053</v>
      </c>
      <c r="G226">
        <v>2415</v>
      </c>
      <c r="H226">
        <v>78</v>
      </c>
      <c r="I226">
        <v>42</v>
      </c>
    </row>
    <row r="227" spans="1:9" x14ac:dyDescent="0.3">
      <c r="A227" t="s">
        <v>32</v>
      </c>
      <c r="B227" t="s">
        <v>16</v>
      </c>
      <c r="C227" t="s">
        <v>15</v>
      </c>
      <c r="D227" t="s">
        <v>21</v>
      </c>
      <c r="E227">
        <v>5010</v>
      </c>
      <c r="F227">
        <v>2860</v>
      </c>
      <c r="G227">
        <v>2150</v>
      </c>
      <c r="H227">
        <v>93</v>
      </c>
      <c r="I227">
        <v>30</v>
      </c>
    </row>
    <row r="228" spans="1:9" x14ac:dyDescent="0.3">
      <c r="A228" t="s">
        <v>32</v>
      </c>
      <c r="B228" t="s">
        <v>16</v>
      </c>
      <c r="C228" t="s">
        <v>22</v>
      </c>
      <c r="D228" t="s">
        <v>19</v>
      </c>
      <c r="E228">
        <v>15800</v>
      </c>
      <c r="F228">
        <v>9456</v>
      </c>
      <c r="G228">
        <v>6344</v>
      </c>
      <c r="H228">
        <v>67</v>
      </c>
      <c r="I228">
        <v>40</v>
      </c>
    </row>
    <row r="229" spans="1:9" x14ac:dyDescent="0.3">
      <c r="A229" t="s">
        <v>32</v>
      </c>
      <c r="B229" t="s">
        <v>11</v>
      </c>
      <c r="C229" t="s">
        <v>10</v>
      </c>
      <c r="D229" t="s">
        <v>21</v>
      </c>
      <c r="E229">
        <v>6984</v>
      </c>
      <c r="F229">
        <v>4094</v>
      </c>
      <c r="G229">
        <v>2890</v>
      </c>
      <c r="H229">
        <v>41</v>
      </c>
      <c r="I229">
        <v>36</v>
      </c>
    </row>
    <row r="230" spans="1:9" x14ac:dyDescent="0.3">
      <c r="A230" t="s">
        <v>32</v>
      </c>
      <c r="B230" t="s">
        <v>24</v>
      </c>
      <c r="C230" t="s">
        <v>23</v>
      </c>
      <c r="D230" t="s">
        <v>12</v>
      </c>
      <c r="E230">
        <v>31725</v>
      </c>
      <c r="F230">
        <v>24252</v>
      </c>
      <c r="G230">
        <v>7473</v>
      </c>
      <c r="H230">
        <v>86</v>
      </c>
      <c r="I230">
        <v>75</v>
      </c>
    </row>
    <row r="231" spans="1:9" x14ac:dyDescent="0.3">
      <c r="A231" t="s">
        <v>32</v>
      </c>
      <c r="B231" t="s">
        <v>11</v>
      </c>
      <c r="C231" t="s">
        <v>10</v>
      </c>
      <c r="D231" t="s">
        <v>19</v>
      </c>
      <c r="E231">
        <v>47100</v>
      </c>
      <c r="F231">
        <v>31186</v>
      </c>
      <c r="G231">
        <v>15914</v>
      </c>
      <c r="H231">
        <v>104</v>
      </c>
      <c r="I231">
        <v>100</v>
      </c>
    </row>
    <row r="232" spans="1:9" x14ac:dyDescent="0.3">
      <c r="A232" t="s">
        <v>32</v>
      </c>
      <c r="B232" t="s">
        <v>24</v>
      </c>
      <c r="C232" t="s">
        <v>23</v>
      </c>
      <c r="D232" t="s">
        <v>14</v>
      </c>
      <c r="E232">
        <v>4080</v>
      </c>
      <c r="F232">
        <v>2941</v>
      </c>
      <c r="G232">
        <v>1139</v>
      </c>
      <c r="H232">
        <v>80</v>
      </c>
      <c r="I232">
        <v>24</v>
      </c>
    </row>
    <row r="233" spans="1:9" x14ac:dyDescent="0.3">
      <c r="A233" t="s">
        <v>32</v>
      </c>
      <c r="B233" t="s">
        <v>24</v>
      </c>
      <c r="C233" t="s">
        <v>23</v>
      </c>
      <c r="D233" t="s">
        <v>25</v>
      </c>
      <c r="E233">
        <v>5610</v>
      </c>
      <c r="F233">
        <v>3760</v>
      </c>
      <c r="G233">
        <v>1850</v>
      </c>
      <c r="H233">
        <v>22</v>
      </c>
      <c r="I233">
        <v>17</v>
      </c>
    </row>
    <row r="234" spans="1:9" x14ac:dyDescent="0.3">
      <c r="A234" t="s">
        <v>32</v>
      </c>
      <c r="B234" t="s">
        <v>16</v>
      </c>
      <c r="C234" t="s">
        <v>15</v>
      </c>
      <c r="D234" t="s">
        <v>14</v>
      </c>
      <c r="E234">
        <v>4428</v>
      </c>
      <c r="F234">
        <v>3032</v>
      </c>
      <c r="G234">
        <v>1396</v>
      </c>
      <c r="H234">
        <v>46</v>
      </c>
      <c r="I234">
        <v>36</v>
      </c>
    </row>
    <row r="235" spans="1:9" x14ac:dyDescent="0.3">
      <c r="A235" t="s">
        <v>32</v>
      </c>
      <c r="B235" t="s">
        <v>16</v>
      </c>
      <c r="C235" t="s">
        <v>20</v>
      </c>
      <c r="D235" t="s">
        <v>14</v>
      </c>
      <c r="E235">
        <v>20240</v>
      </c>
      <c r="F235">
        <v>10418</v>
      </c>
      <c r="G235">
        <v>9822</v>
      </c>
      <c r="H235">
        <v>86</v>
      </c>
      <c r="I235">
        <v>44</v>
      </c>
    </row>
    <row r="236" spans="1:9" x14ac:dyDescent="0.3">
      <c r="A236" t="s">
        <v>32</v>
      </c>
      <c r="B236" t="s">
        <v>16</v>
      </c>
      <c r="C236" t="s">
        <v>20</v>
      </c>
      <c r="D236" t="s">
        <v>14</v>
      </c>
      <c r="E236">
        <v>19520</v>
      </c>
      <c r="F236">
        <v>9839</v>
      </c>
      <c r="G236">
        <v>9681</v>
      </c>
      <c r="H236">
        <v>80</v>
      </c>
      <c r="I236">
        <v>64</v>
      </c>
    </row>
    <row r="237" spans="1:9" x14ac:dyDescent="0.3">
      <c r="A237" t="s">
        <v>32</v>
      </c>
      <c r="B237" t="s">
        <v>16</v>
      </c>
      <c r="C237" t="s">
        <v>15</v>
      </c>
      <c r="D237" t="s">
        <v>19</v>
      </c>
      <c r="E237">
        <v>15504</v>
      </c>
      <c r="F237">
        <v>10080</v>
      </c>
      <c r="G237">
        <v>5424</v>
      </c>
      <c r="H237">
        <v>86</v>
      </c>
      <c r="I237">
        <v>68</v>
      </c>
    </row>
    <row r="238" spans="1:9" x14ac:dyDescent="0.3">
      <c r="A238" t="s">
        <v>32</v>
      </c>
      <c r="B238" t="s">
        <v>11</v>
      </c>
      <c r="C238" t="s">
        <v>10</v>
      </c>
      <c r="D238" t="s">
        <v>21</v>
      </c>
      <c r="E238">
        <v>17290</v>
      </c>
      <c r="F238">
        <v>12947</v>
      </c>
      <c r="G238">
        <v>4343</v>
      </c>
      <c r="H238">
        <v>49</v>
      </c>
      <c r="I238">
        <v>38</v>
      </c>
    </row>
    <row r="239" spans="1:9" x14ac:dyDescent="0.3">
      <c r="A239" t="s">
        <v>32</v>
      </c>
      <c r="B239" t="s">
        <v>16</v>
      </c>
      <c r="C239" t="s">
        <v>15</v>
      </c>
      <c r="D239" t="s">
        <v>19</v>
      </c>
      <c r="E239">
        <v>34160</v>
      </c>
      <c r="F239">
        <v>19315</v>
      </c>
      <c r="G239">
        <v>14845</v>
      </c>
      <c r="H239">
        <v>95</v>
      </c>
      <c r="I239">
        <v>70</v>
      </c>
    </row>
    <row r="240" spans="1:9" x14ac:dyDescent="0.3">
      <c r="A240" t="s">
        <v>32</v>
      </c>
      <c r="B240" t="s">
        <v>24</v>
      </c>
      <c r="C240" t="s">
        <v>23</v>
      </c>
      <c r="D240" t="s">
        <v>12</v>
      </c>
      <c r="E240">
        <v>7992</v>
      </c>
      <c r="F240">
        <v>6103</v>
      </c>
      <c r="G240">
        <v>1889</v>
      </c>
      <c r="H240">
        <v>29</v>
      </c>
      <c r="I240">
        <v>18</v>
      </c>
    </row>
    <row r="241" spans="1:9" x14ac:dyDescent="0.3">
      <c r="A241" t="s">
        <v>32</v>
      </c>
      <c r="B241" t="s">
        <v>24</v>
      </c>
      <c r="C241" t="s">
        <v>23</v>
      </c>
      <c r="D241" t="s">
        <v>21</v>
      </c>
      <c r="E241">
        <v>33234</v>
      </c>
      <c r="F241">
        <v>18516</v>
      </c>
      <c r="G241">
        <v>14718</v>
      </c>
      <c r="H241">
        <v>89</v>
      </c>
      <c r="I241">
        <v>87</v>
      </c>
    </row>
    <row r="242" spans="1:9" x14ac:dyDescent="0.3">
      <c r="A242" t="s">
        <v>32</v>
      </c>
      <c r="B242" t="s">
        <v>16</v>
      </c>
      <c r="C242" t="s">
        <v>22</v>
      </c>
      <c r="D242" t="s">
        <v>19</v>
      </c>
      <c r="E242">
        <v>11648</v>
      </c>
      <c r="F242">
        <v>7430</v>
      </c>
      <c r="G242">
        <v>4218</v>
      </c>
      <c r="H242">
        <v>35</v>
      </c>
      <c r="I242">
        <v>28</v>
      </c>
    </row>
    <row r="243" spans="1:9" x14ac:dyDescent="0.3">
      <c r="A243" t="s">
        <v>32</v>
      </c>
      <c r="B243" t="s">
        <v>11</v>
      </c>
      <c r="C243" t="s">
        <v>13</v>
      </c>
      <c r="D243" t="s">
        <v>12</v>
      </c>
      <c r="E243">
        <v>34240</v>
      </c>
      <c r="F243">
        <v>18760</v>
      </c>
      <c r="G243">
        <v>15480</v>
      </c>
      <c r="H243">
        <v>80</v>
      </c>
      <c r="I243">
        <v>80</v>
      </c>
    </row>
    <row r="244" spans="1:9" x14ac:dyDescent="0.3">
      <c r="A244" t="s">
        <v>32</v>
      </c>
      <c r="B244" t="s">
        <v>18</v>
      </c>
      <c r="C244" t="s">
        <v>17</v>
      </c>
      <c r="D244" t="s">
        <v>25</v>
      </c>
      <c r="E244">
        <v>5236</v>
      </c>
      <c r="F244">
        <v>2740</v>
      </c>
      <c r="G244">
        <v>2496</v>
      </c>
      <c r="H244">
        <v>32</v>
      </c>
      <c r="I244">
        <v>28</v>
      </c>
    </row>
    <row r="245" spans="1:9" x14ac:dyDescent="0.3">
      <c r="A245" t="s">
        <v>32</v>
      </c>
      <c r="B245" t="s">
        <v>16</v>
      </c>
      <c r="C245" t="s">
        <v>15</v>
      </c>
      <c r="D245" t="s">
        <v>19</v>
      </c>
      <c r="E245">
        <v>4140</v>
      </c>
      <c r="F245">
        <v>3238</v>
      </c>
      <c r="G245">
        <v>902</v>
      </c>
      <c r="H245">
        <v>65</v>
      </c>
      <c r="I245">
        <v>23</v>
      </c>
    </row>
    <row r="246" spans="1:9" x14ac:dyDescent="0.3">
      <c r="A246" t="s">
        <v>33</v>
      </c>
      <c r="B246" t="s">
        <v>16</v>
      </c>
      <c r="C246" t="s">
        <v>15</v>
      </c>
      <c r="D246" t="s">
        <v>14</v>
      </c>
      <c r="E246">
        <v>5292</v>
      </c>
      <c r="F246">
        <v>3595</v>
      </c>
      <c r="G246">
        <v>1697</v>
      </c>
      <c r="H246">
        <v>74</v>
      </c>
      <c r="I246">
        <v>28</v>
      </c>
    </row>
    <row r="247" spans="1:9" x14ac:dyDescent="0.3">
      <c r="A247" t="s">
        <v>33</v>
      </c>
      <c r="B247" t="s">
        <v>18</v>
      </c>
      <c r="C247" t="s">
        <v>17</v>
      </c>
      <c r="D247" t="s">
        <v>25</v>
      </c>
      <c r="E247">
        <v>14337</v>
      </c>
      <c r="F247">
        <v>9377</v>
      </c>
      <c r="G247">
        <v>4960</v>
      </c>
      <c r="H247">
        <v>120</v>
      </c>
      <c r="I247">
        <v>81</v>
      </c>
    </row>
    <row r="248" spans="1:9" x14ac:dyDescent="0.3">
      <c r="A248" t="s">
        <v>33</v>
      </c>
      <c r="B248" t="s">
        <v>11</v>
      </c>
      <c r="C248" t="s">
        <v>13</v>
      </c>
      <c r="D248" t="s">
        <v>14</v>
      </c>
      <c r="E248">
        <v>15975</v>
      </c>
      <c r="F248">
        <v>10899</v>
      </c>
      <c r="G248">
        <v>5076</v>
      </c>
      <c r="H248">
        <v>46</v>
      </c>
      <c r="I248">
        <v>45</v>
      </c>
    </row>
    <row r="249" spans="1:9" x14ac:dyDescent="0.3">
      <c r="A249" t="s">
        <v>33</v>
      </c>
      <c r="B249" t="s">
        <v>11</v>
      </c>
      <c r="C249" t="s">
        <v>10</v>
      </c>
      <c r="D249" t="s">
        <v>12</v>
      </c>
      <c r="E249">
        <v>3230</v>
      </c>
      <c r="F249">
        <v>2417</v>
      </c>
      <c r="G249">
        <v>813</v>
      </c>
      <c r="H249">
        <v>57</v>
      </c>
      <c r="I249">
        <v>17</v>
      </c>
    </row>
    <row r="250" spans="1:9" x14ac:dyDescent="0.3">
      <c r="A250" t="s">
        <v>33</v>
      </c>
      <c r="B250" t="s">
        <v>16</v>
      </c>
      <c r="C250" t="s">
        <v>15</v>
      </c>
      <c r="D250" t="s">
        <v>14</v>
      </c>
      <c r="E250">
        <v>16728</v>
      </c>
      <c r="F250">
        <v>12330</v>
      </c>
      <c r="G250">
        <v>4398</v>
      </c>
      <c r="H250">
        <v>99</v>
      </c>
      <c r="I250">
        <v>41</v>
      </c>
    </row>
    <row r="251" spans="1:9" x14ac:dyDescent="0.3">
      <c r="A251" t="s">
        <v>33</v>
      </c>
      <c r="B251" t="s">
        <v>24</v>
      </c>
      <c r="C251" t="s">
        <v>23</v>
      </c>
      <c r="D251" t="s">
        <v>21</v>
      </c>
      <c r="E251">
        <v>4104</v>
      </c>
      <c r="F251">
        <v>2379</v>
      </c>
      <c r="G251">
        <v>1725</v>
      </c>
      <c r="H251">
        <v>71</v>
      </c>
      <c r="I251">
        <v>19</v>
      </c>
    </row>
    <row r="252" spans="1:9" x14ac:dyDescent="0.3">
      <c r="A252" t="s">
        <v>33</v>
      </c>
      <c r="B252" t="s">
        <v>11</v>
      </c>
      <c r="C252" t="s">
        <v>10</v>
      </c>
      <c r="D252" t="s">
        <v>12</v>
      </c>
      <c r="E252">
        <v>16558</v>
      </c>
      <c r="F252">
        <v>11094</v>
      </c>
      <c r="G252">
        <v>5464</v>
      </c>
      <c r="H252">
        <v>41</v>
      </c>
      <c r="I252">
        <v>34</v>
      </c>
    </row>
    <row r="253" spans="1:9" x14ac:dyDescent="0.3">
      <c r="A253" t="s">
        <v>33</v>
      </c>
      <c r="B253" t="s">
        <v>18</v>
      </c>
      <c r="C253" t="s">
        <v>17</v>
      </c>
      <c r="D253" t="s">
        <v>12</v>
      </c>
      <c r="E253">
        <v>8990</v>
      </c>
      <c r="F253">
        <v>5422</v>
      </c>
      <c r="G253">
        <v>3568</v>
      </c>
      <c r="H253">
        <v>85</v>
      </c>
      <c r="I253">
        <v>62</v>
      </c>
    </row>
    <row r="254" spans="1:9" x14ac:dyDescent="0.3">
      <c r="A254" t="s">
        <v>33</v>
      </c>
      <c r="B254" t="s">
        <v>16</v>
      </c>
      <c r="C254" t="s">
        <v>20</v>
      </c>
      <c r="D254" t="s">
        <v>12</v>
      </c>
      <c r="E254">
        <v>13330</v>
      </c>
      <c r="F254">
        <v>8763</v>
      </c>
      <c r="G254">
        <v>4567</v>
      </c>
      <c r="H254">
        <v>61</v>
      </c>
      <c r="I254">
        <v>43</v>
      </c>
    </row>
    <row r="255" spans="1:9" x14ac:dyDescent="0.3">
      <c r="A255" t="s">
        <v>33</v>
      </c>
      <c r="B255" t="s">
        <v>11</v>
      </c>
      <c r="C255" t="s">
        <v>13</v>
      </c>
      <c r="D255" t="s">
        <v>25</v>
      </c>
      <c r="E255">
        <v>3843</v>
      </c>
      <c r="F255">
        <v>1935</v>
      </c>
      <c r="G255">
        <v>1908</v>
      </c>
      <c r="H255">
        <v>30</v>
      </c>
      <c r="I255">
        <v>21</v>
      </c>
    </row>
    <row r="256" spans="1:9" x14ac:dyDescent="0.3">
      <c r="A256" t="s">
        <v>33</v>
      </c>
      <c r="B256" t="s">
        <v>16</v>
      </c>
      <c r="C256" t="s">
        <v>22</v>
      </c>
      <c r="D256" t="s">
        <v>19</v>
      </c>
      <c r="E256">
        <v>1665</v>
      </c>
      <c r="F256">
        <v>1304</v>
      </c>
      <c r="G256">
        <v>361</v>
      </c>
      <c r="H256">
        <v>35</v>
      </c>
      <c r="I256">
        <v>15</v>
      </c>
    </row>
    <row r="257" spans="1:9" x14ac:dyDescent="0.3">
      <c r="A257" t="s">
        <v>33</v>
      </c>
      <c r="B257" t="s">
        <v>16</v>
      </c>
      <c r="C257" t="s">
        <v>20</v>
      </c>
      <c r="D257" t="s">
        <v>21</v>
      </c>
      <c r="E257">
        <v>7830</v>
      </c>
      <c r="F257">
        <v>4423</v>
      </c>
      <c r="G257">
        <v>3407</v>
      </c>
      <c r="H257">
        <v>80</v>
      </c>
      <c r="I257">
        <v>27</v>
      </c>
    </row>
    <row r="258" spans="1:9" x14ac:dyDescent="0.3">
      <c r="A258" t="s">
        <v>33</v>
      </c>
      <c r="B258" t="s">
        <v>16</v>
      </c>
      <c r="C258" t="s">
        <v>15</v>
      </c>
      <c r="D258" t="s">
        <v>14</v>
      </c>
      <c r="E258">
        <v>15963</v>
      </c>
      <c r="F258">
        <v>9013</v>
      </c>
      <c r="G258">
        <v>6950</v>
      </c>
      <c r="H258">
        <v>63</v>
      </c>
      <c r="I258">
        <v>51</v>
      </c>
    </row>
    <row r="259" spans="1:9" x14ac:dyDescent="0.3">
      <c r="A259" t="s">
        <v>33</v>
      </c>
      <c r="B259" t="s">
        <v>18</v>
      </c>
      <c r="C259" t="s">
        <v>17</v>
      </c>
      <c r="D259" t="s">
        <v>25</v>
      </c>
      <c r="E259">
        <v>4602</v>
      </c>
      <c r="F259">
        <v>3552</v>
      </c>
      <c r="G259">
        <v>1050</v>
      </c>
      <c r="H259">
        <v>68</v>
      </c>
      <c r="I259">
        <v>13</v>
      </c>
    </row>
    <row r="260" spans="1:9" x14ac:dyDescent="0.3">
      <c r="A260" t="s">
        <v>33</v>
      </c>
      <c r="B260" t="s">
        <v>11</v>
      </c>
      <c r="C260" t="s">
        <v>10</v>
      </c>
      <c r="D260" t="s">
        <v>21</v>
      </c>
      <c r="E260">
        <v>27864</v>
      </c>
      <c r="F260">
        <v>14017</v>
      </c>
      <c r="G260">
        <v>13847</v>
      </c>
      <c r="H260">
        <v>114</v>
      </c>
      <c r="I260">
        <v>81</v>
      </c>
    </row>
    <row r="261" spans="1:9" x14ac:dyDescent="0.3">
      <c r="A261" t="s">
        <v>33</v>
      </c>
      <c r="B261" t="s">
        <v>11</v>
      </c>
      <c r="C261" t="s">
        <v>10</v>
      </c>
      <c r="D261" t="s">
        <v>19</v>
      </c>
      <c r="E261">
        <v>4256</v>
      </c>
      <c r="F261">
        <v>2509</v>
      </c>
      <c r="G261">
        <v>1747</v>
      </c>
      <c r="H261">
        <v>107</v>
      </c>
      <c r="I261">
        <v>32</v>
      </c>
    </row>
    <row r="262" spans="1:9" x14ac:dyDescent="0.3">
      <c r="A262" t="s">
        <v>33</v>
      </c>
      <c r="B262" t="s">
        <v>24</v>
      </c>
      <c r="C262" t="s">
        <v>23</v>
      </c>
      <c r="D262" t="s">
        <v>12</v>
      </c>
      <c r="E262">
        <v>6613</v>
      </c>
      <c r="F262">
        <v>4504</v>
      </c>
      <c r="G262">
        <v>2109</v>
      </c>
      <c r="H262">
        <v>92</v>
      </c>
      <c r="I262">
        <v>17</v>
      </c>
    </row>
    <row r="263" spans="1:9" x14ac:dyDescent="0.3">
      <c r="A263" t="s">
        <v>33</v>
      </c>
      <c r="B263" t="s">
        <v>11</v>
      </c>
      <c r="C263" t="s">
        <v>13</v>
      </c>
      <c r="D263" t="s">
        <v>25</v>
      </c>
      <c r="E263">
        <v>20022</v>
      </c>
      <c r="F263">
        <v>14008</v>
      </c>
      <c r="G263">
        <v>6014</v>
      </c>
      <c r="H263">
        <v>96</v>
      </c>
      <c r="I263">
        <v>47</v>
      </c>
    </row>
    <row r="264" spans="1:9" x14ac:dyDescent="0.3">
      <c r="A264" t="s">
        <v>33</v>
      </c>
      <c r="B264" t="s">
        <v>16</v>
      </c>
      <c r="C264" t="s">
        <v>20</v>
      </c>
      <c r="D264" t="s">
        <v>12</v>
      </c>
      <c r="E264">
        <v>7506</v>
      </c>
      <c r="F264">
        <v>3985</v>
      </c>
      <c r="G264">
        <v>3521</v>
      </c>
      <c r="H264">
        <v>35</v>
      </c>
      <c r="I264">
        <v>18</v>
      </c>
    </row>
    <row r="265" spans="1:9" x14ac:dyDescent="0.3">
      <c r="A265" t="s">
        <v>33</v>
      </c>
      <c r="B265" t="s">
        <v>16</v>
      </c>
      <c r="C265" t="s">
        <v>15</v>
      </c>
      <c r="D265" t="s">
        <v>14</v>
      </c>
      <c r="E265">
        <v>6864</v>
      </c>
      <c r="F265">
        <v>4453</v>
      </c>
      <c r="G265">
        <v>2411</v>
      </c>
      <c r="H265">
        <v>72</v>
      </c>
      <c r="I265">
        <v>52</v>
      </c>
    </row>
    <row r="266" spans="1:9" x14ac:dyDescent="0.3">
      <c r="A266" t="s">
        <v>33</v>
      </c>
      <c r="B266" t="s">
        <v>18</v>
      </c>
      <c r="C266" t="s">
        <v>17</v>
      </c>
      <c r="D266" t="s">
        <v>21</v>
      </c>
      <c r="E266">
        <v>6570</v>
      </c>
      <c r="F266">
        <v>4714</v>
      </c>
      <c r="G266">
        <v>1856</v>
      </c>
      <c r="H266">
        <v>119</v>
      </c>
      <c r="I266">
        <v>45</v>
      </c>
    </row>
    <row r="267" spans="1:9" x14ac:dyDescent="0.3">
      <c r="A267" t="s">
        <v>33</v>
      </c>
      <c r="B267" t="s">
        <v>11</v>
      </c>
      <c r="C267" t="s">
        <v>10</v>
      </c>
      <c r="D267" t="s">
        <v>19</v>
      </c>
      <c r="E267">
        <v>14260</v>
      </c>
      <c r="F267">
        <v>7341</v>
      </c>
      <c r="G267">
        <v>6919</v>
      </c>
      <c r="H267">
        <v>34</v>
      </c>
      <c r="I267">
        <v>31</v>
      </c>
    </row>
    <row r="268" spans="1:9" x14ac:dyDescent="0.3">
      <c r="A268" t="s">
        <v>33</v>
      </c>
      <c r="B268" t="s">
        <v>16</v>
      </c>
      <c r="C268" t="s">
        <v>15</v>
      </c>
      <c r="D268" t="s">
        <v>25</v>
      </c>
      <c r="E268">
        <v>9130</v>
      </c>
      <c r="F268">
        <v>6807</v>
      </c>
      <c r="G268">
        <v>2323</v>
      </c>
      <c r="H268">
        <v>63</v>
      </c>
      <c r="I268">
        <v>55</v>
      </c>
    </row>
    <row r="269" spans="1:9" x14ac:dyDescent="0.3">
      <c r="A269" t="s">
        <v>33</v>
      </c>
      <c r="B269" t="s">
        <v>16</v>
      </c>
      <c r="C269" t="s">
        <v>20</v>
      </c>
      <c r="D269" t="s">
        <v>19</v>
      </c>
      <c r="E269">
        <v>7700</v>
      </c>
      <c r="F269">
        <v>6098</v>
      </c>
      <c r="G269">
        <v>1602</v>
      </c>
      <c r="H269">
        <v>48</v>
      </c>
      <c r="I269">
        <v>20</v>
      </c>
    </row>
    <row r="270" spans="1:9" x14ac:dyDescent="0.3">
      <c r="A270" t="s">
        <v>33</v>
      </c>
      <c r="B270" t="s">
        <v>11</v>
      </c>
      <c r="C270" t="s">
        <v>13</v>
      </c>
      <c r="D270" t="s">
        <v>12</v>
      </c>
      <c r="E270">
        <v>30828</v>
      </c>
      <c r="F270">
        <v>15596</v>
      </c>
      <c r="G270">
        <v>15232</v>
      </c>
      <c r="H270">
        <v>109</v>
      </c>
      <c r="I270">
        <v>84</v>
      </c>
    </row>
    <row r="271" spans="1:9" x14ac:dyDescent="0.3">
      <c r="A271" t="s">
        <v>33</v>
      </c>
      <c r="B271" t="s">
        <v>16</v>
      </c>
      <c r="C271" t="s">
        <v>15</v>
      </c>
      <c r="D271" t="s">
        <v>19</v>
      </c>
      <c r="E271">
        <v>3402</v>
      </c>
      <c r="F271">
        <v>2284</v>
      </c>
      <c r="G271">
        <v>1118</v>
      </c>
      <c r="H271">
        <v>28</v>
      </c>
      <c r="I271">
        <v>21</v>
      </c>
    </row>
    <row r="272" spans="1:9" x14ac:dyDescent="0.3">
      <c r="A272" t="s">
        <v>33</v>
      </c>
      <c r="B272" t="s">
        <v>11</v>
      </c>
      <c r="C272" t="s">
        <v>13</v>
      </c>
      <c r="D272" t="s">
        <v>14</v>
      </c>
      <c r="E272">
        <v>4272</v>
      </c>
      <c r="F272">
        <v>2694</v>
      </c>
      <c r="G272">
        <v>1578</v>
      </c>
      <c r="H272">
        <v>54</v>
      </c>
      <c r="I272">
        <v>16</v>
      </c>
    </row>
    <row r="273" spans="1:9" x14ac:dyDescent="0.3">
      <c r="A273" t="s">
        <v>33</v>
      </c>
      <c r="B273" t="s">
        <v>16</v>
      </c>
      <c r="C273" t="s">
        <v>15</v>
      </c>
      <c r="D273" t="s">
        <v>12</v>
      </c>
      <c r="E273">
        <v>5424</v>
      </c>
      <c r="F273">
        <v>3636</v>
      </c>
      <c r="G273">
        <v>1788</v>
      </c>
      <c r="H273">
        <v>53</v>
      </c>
      <c r="I273">
        <v>48</v>
      </c>
    </row>
    <row r="274" spans="1:9" x14ac:dyDescent="0.3">
      <c r="A274" t="s">
        <v>33</v>
      </c>
      <c r="B274" t="s">
        <v>16</v>
      </c>
      <c r="C274" t="s">
        <v>22</v>
      </c>
      <c r="D274" t="s">
        <v>25</v>
      </c>
      <c r="E274">
        <v>35036</v>
      </c>
      <c r="F274">
        <v>18620</v>
      </c>
      <c r="G274">
        <v>16416</v>
      </c>
      <c r="H274">
        <v>104</v>
      </c>
      <c r="I274">
        <v>76</v>
      </c>
    </row>
    <row r="275" spans="1:9" x14ac:dyDescent="0.3">
      <c r="A275" t="s">
        <v>33</v>
      </c>
      <c r="B275" t="s">
        <v>16</v>
      </c>
      <c r="C275" t="s">
        <v>22</v>
      </c>
      <c r="D275" t="s">
        <v>19</v>
      </c>
      <c r="E275">
        <v>39732</v>
      </c>
      <c r="F275">
        <v>31521</v>
      </c>
      <c r="G275">
        <v>8211</v>
      </c>
      <c r="H275">
        <v>98</v>
      </c>
      <c r="I275">
        <v>86</v>
      </c>
    </row>
    <row r="276" spans="1:9" x14ac:dyDescent="0.3">
      <c r="A276" t="s">
        <v>34</v>
      </c>
      <c r="B276" t="s">
        <v>16</v>
      </c>
      <c r="C276" t="s">
        <v>22</v>
      </c>
      <c r="D276" t="s">
        <v>25</v>
      </c>
      <c r="E276">
        <v>13398</v>
      </c>
      <c r="F276">
        <v>7499</v>
      </c>
      <c r="G276">
        <v>5899</v>
      </c>
      <c r="H276">
        <v>44</v>
      </c>
      <c r="I276">
        <v>33</v>
      </c>
    </row>
    <row r="277" spans="1:9" x14ac:dyDescent="0.3">
      <c r="A277" t="s">
        <v>34</v>
      </c>
      <c r="B277" t="s">
        <v>16</v>
      </c>
      <c r="C277" t="s">
        <v>22</v>
      </c>
      <c r="D277" t="s">
        <v>25</v>
      </c>
      <c r="E277">
        <v>16640</v>
      </c>
      <c r="F277">
        <v>9256</v>
      </c>
      <c r="G277">
        <v>7384</v>
      </c>
      <c r="H277">
        <v>64</v>
      </c>
      <c r="I277">
        <v>40</v>
      </c>
    </row>
    <row r="278" spans="1:9" x14ac:dyDescent="0.3">
      <c r="A278" t="s">
        <v>34</v>
      </c>
      <c r="B278" t="s">
        <v>24</v>
      </c>
      <c r="C278" t="s">
        <v>23</v>
      </c>
      <c r="D278" t="s">
        <v>12</v>
      </c>
      <c r="E278">
        <v>32120</v>
      </c>
      <c r="F278">
        <v>18907</v>
      </c>
      <c r="G278">
        <v>13213</v>
      </c>
      <c r="H278">
        <v>112</v>
      </c>
      <c r="I278">
        <v>110</v>
      </c>
    </row>
    <row r="279" spans="1:9" x14ac:dyDescent="0.3">
      <c r="A279" t="s">
        <v>34</v>
      </c>
      <c r="B279" t="s">
        <v>18</v>
      </c>
      <c r="C279" t="s">
        <v>17</v>
      </c>
      <c r="D279" t="s">
        <v>12</v>
      </c>
      <c r="E279">
        <v>9333</v>
      </c>
      <c r="F279">
        <v>5205</v>
      </c>
      <c r="G279">
        <v>4128</v>
      </c>
      <c r="H279">
        <v>117</v>
      </c>
      <c r="I279">
        <v>51</v>
      </c>
    </row>
    <row r="280" spans="1:9" x14ac:dyDescent="0.3">
      <c r="A280" t="s">
        <v>34</v>
      </c>
      <c r="B280" t="s">
        <v>16</v>
      </c>
      <c r="C280" t="s">
        <v>20</v>
      </c>
      <c r="D280" t="s">
        <v>21</v>
      </c>
      <c r="E280">
        <v>6253</v>
      </c>
      <c r="F280">
        <v>4263</v>
      </c>
      <c r="G280">
        <v>1990</v>
      </c>
      <c r="H280">
        <v>97</v>
      </c>
      <c r="I280">
        <v>37</v>
      </c>
    </row>
    <row r="281" spans="1:9" x14ac:dyDescent="0.3">
      <c r="A281" t="s">
        <v>34</v>
      </c>
      <c r="B281" t="s">
        <v>16</v>
      </c>
      <c r="C281" t="s">
        <v>20</v>
      </c>
      <c r="D281" t="s">
        <v>12</v>
      </c>
      <c r="E281">
        <v>1520</v>
      </c>
      <c r="F281">
        <v>994</v>
      </c>
      <c r="G281">
        <v>526</v>
      </c>
      <c r="H281">
        <v>55</v>
      </c>
      <c r="I281">
        <v>10</v>
      </c>
    </row>
    <row r="282" spans="1:9" x14ac:dyDescent="0.3">
      <c r="A282" t="s">
        <v>34</v>
      </c>
      <c r="B282" t="s">
        <v>24</v>
      </c>
      <c r="C282" t="s">
        <v>23</v>
      </c>
      <c r="D282" t="s">
        <v>21</v>
      </c>
      <c r="E282">
        <v>4760</v>
      </c>
      <c r="F282">
        <v>3170</v>
      </c>
      <c r="G282">
        <v>1590</v>
      </c>
      <c r="H282">
        <v>97</v>
      </c>
      <c r="I282">
        <v>10</v>
      </c>
    </row>
    <row r="283" spans="1:9" x14ac:dyDescent="0.3">
      <c r="A283" t="s">
        <v>34</v>
      </c>
      <c r="B283" t="s">
        <v>16</v>
      </c>
      <c r="C283" t="s">
        <v>22</v>
      </c>
      <c r="D283" t="s">
        <v>12</v>
      </c>
      <c r="E283">
        <v>36062</v>
      </c>
      <c r="F283">
        <v>27599</v>
      </c>
      <c r="G283">
        <v>8463</v>
      </c>
      <c r="H283">
        <v>115</v>
      </c>
      <c r="I283">
        <v>73</v>
      </c>
    </row>
    <row r="284" spans="1:9" x14ac:dyDescent="0.3">
      <c r="A284" t="s">
        <v>34</v>
      </c>
      <c r="B284" t="s">
        <v>24</v>
      </c>
      <c r="C284" t="s">
        <v>23</v>
      </c>
      <c r="D284" t="s">
        <v>21</v>
      </c>
      <c r="E284">
        <v>26854</v>
      </c>
      <c r="F284">
        <v>16152</v>
      </c>
      <c r="G284">
        <v>10702</v>
      </c>
      <c r="H284">
        <v>97</v>
      </c>
      <c r="I284">
        <v>58</v>
      </c>
    </row>
    <row r="285" spans="1:9" x14ac:dyDescent="0.3">
      <c r="A285" t="s">
        <v>34</v>
      </c>
      <c r="B285" t="s">
        <v>24</v>
      </c>
      <c r="C285" t="s">
        <v>23</v>
      </c>
      <c r="D285" t="s">
        <v>12</v>
      </c>
      <c r="E285">
        <v>7110</v>
      </c>
      <c r="F285">
        <v>4357</v>
      </c>
      <c r="G285">
        <v>2753</v>
      </c>
      <c r="H285">
        <v>94</v>
      </c>
      <c r="I285">
        <v>45</v>
      </c>
    </row>
    <row r="286" spans="1:9" x14ac:dyDescent="0.3">
      <c r="A286" t="s">
        <v>34</v>
      </c>
      <c r="B286" t="s">
        <v>11</v>
      </c>
      <c r="C286" t="s">
        <v>10</v>
      </c>
      <c r="D286" t="s">
        <v>12</v>
      </c>
      <c r="E286">
        <v>23985</v>
      </c>
      <c r="F286">
        <v>13401</v>
      </c>
      <c r="G286">
        <v>10584</v>
      </c>
      <c r="H286">
        <v>105</v>
      </c>
      <c r="I286">
        <v>65</v>
      </c>
    </row>
    <row r="287" spans="1:9" x14ac:dyDescent="0.3">
      <c r="A287" t="s">
        <v>34</v>
      </c>
      <c r="B287" t="s">
        <v>11</v>
      </c>
      <c r="C287" t="s">
        <v>13</v>
      </c>
      <c r="D287" t="s">
        <v>14</v>
      </c>
      <c r="E287">
        <v>17289</v>
      </c>
      <c r="F287">
        <v>11070</v>
      </c>
      <c r="G287">
        <v>6219</v>
      </c>
      <c r="H287">
        <v>115</v>
      </c>
      <c r="I287">
        <v>113</v>
      </c>
    </row>
    <row r="288" spans="1:9" x14ac:dyDescent="0.3">
      <c r="A288" t="s">
        <v>34</v>
      </c>
      <c r="B288" t="s">
        <v>18</v>
      </c>
      <c r="C288" t="s">
        <v>17</v>
      </c>
      <c r="D288" t="s">
        <v>19</v>
      </c>
      <c r="E288">
        <v>9246</v>
      </c>
      <c r="F288">
        <v>6717</v>
      </c>
      <c r="G288">
        <v>2529</v>
      </c>
      <c r="H288">
        <v>57</v>
      </c>
      <c r="I288">
        <v>46</v>
      </c>
    </row>
    <row r="289" spans="1:9" x14ac:dyDescent="0.3">
      <c r="A289" t="s">
        <v>34</v>
      </c>
      <c r="B289" t="s">
        <v>16</v>
      </c>
      <c r="C289" t="s">
        <v>22</v>
      </c>
      <c r="D289" t="s">
        <v>25</v>
      </c>
      <c r="E289">
        <v>1780</v>
      </c>
      <c r="F289">
        <v>1029</v>
      </c>
      <c r="G289">
        <v>751</v>
      </c>
      <c r="H289">
        <v>26</v>
      </c>
      <c r="I289">
        <v>10</v>
      </c>
    </row>
    <row r="290" spans="1:9" x14ac:dyDescent="0.3">
      <c r="A290" t="s">
        <v>34</v>
      </c>
      <c r="B290" t="s">
        <v>16</v>
      </c>
      <c r="C290" t="s">
        <v>15</v>
      </c>
      <c r="D290" t="s">
        <v>21</v>
      </c>
      <c r="E290">
        <v>6132</v>
      </c>
      <c r="F290">
        <v>3598</v>
      </c>
      <c r="G290">
        <v>2534</v>
      </c>
      <c r="H290">
        <v>61</v>
      </c>
      <c r="I290">
        <v>42</v>
      </c>
    </row>
    <row r="291" spans="1:9" x14ac:dyDescent="0.3">
      <c r="A291" t="s">
        <v>34</v>
      </c>
      <c r="B291" t="s">
        <v>24</v>
      </c>
      <c r="C291" t="s">
        <v>23</v>
      </c>
      <c r="D291" t="s">
        <v>12</v>
      </c>
      <c r="E291">
        <v>2610</v>
      </c>
      <c r="F291">
        <v>1973</v>
      </c>
      <c r="G291">
        <v>637</v>
      </c>
      <c r="H291">
        <v>73</v>
      </c>
      <c r="I291">
        <v>18</v>
      </c>
    </row>
    <row r="292" spans="1:9" x14ac:dyDescent="0.3">
      <c r="A292" t="s">
        <v>34</v>
      </c>
      <c r="B292" t="s">
        <v>16</v>
      </c>
      <c r="C292" t="s">
        <v>15</v>
      </c>
      <c r="D292" t="s">
        <v>14</v>
      </c>
      <c r="E292">
        <v>3300</v>
      </c>
      <c r="F292">
        <v>1848</v>
      </c>
      <c r="G292">
        <v>1452</v>
      </c>
      <c r="H292">
        <v>100</v>
      </c>
      <c r="I292">
        <v>10</v>
      </c>
    </row>
    <row r="293" spans="1:9" x14ac:dyDescent="0.3">
      <c r="A293" t="s">
        <v>34</v>
      </c>
      <c r="B293" t="s">
        <v>24</v>
      </c>
      <c r="C293" t="s">
        <v>23</v>
      </c>
      <c r="D293" t="s">
        <v>12</v>
      </c>
      <c r="E293">
        <v>4760</v>
      </c>
      <c r="F293">
        <v>3124</v>
      </c>
      <c r="G293">
        <v>1636</v>
      </c>
      <c r="H293">
        <v>21</v>
      </c>
      <c r="I293">
        <v>17</v>
      </c>
    </row>
    <row r="294" spans="1:9" x14ac:dyDescent="0.3">
      <c r="A294" t="s">
        <v>34</v>
      </c>
      <c r="B294" t="s">
        <v>18</v>
      </c>
      <c r="C294" t="s">
        <v>17</v>
      </c>
      <c r="D294" t="s">
        <v>14</v>
      </c>
      <c r="E294">
        <v>19366</v>
      </c>
      <c r="F294">
        <v>10366</v>
      </c>
      <c r="G294">
        <v>9000</v>
      </c>
      <c r="H294">
        <v>91</v>
      </c>
      <c r="I294">
        <v>46</v>
      </c>
    </row>
    <row r="295" spans="1:9" x14ac:dyDescent="0.3">
      <c r="A295" t="s">
        <v>34</v>
      </c>
      <c r="B295" t="s">
        <v>16</v>
      </c>
      <c r="C295" t="s">
        <v>22</v>
      </c>
      <c r="D295" t="s">
        <v>21</v>
      </c>
      <c r="E295">
        <v>35784</v>
      </c>
      <c r="F295">
        <v>25440</v>
      </c>
      <c r="G295">
        <v>10344</v>
      </c>
      <c r="H295">
        <v>87</v>
      </c>
      <c r="I295">
        <v>72</v>
      </c>
    </row>
    <row r="296" spans="1:9" x14ac:dyDescent="0.3">
      <c r="A296" t="s">
        <v>34</v>
      </c>
      <c r="B296" t="s">
        <v>16</v>
      </c>
      <c r="C296" t="s">
        <v>20</v>
      </c>
      <c r="D296" t="s">
        <v>19</v>
      </c>
      <c r="E296">
        <v>25714</v>
      </c>
      <c r="F296">
        <v>16557</v>
      </c>
      <c r="G296">
        <v>9157</v>
      </c>
      <c r="H296">
        <v>91</v>
      </c>
      <c r="I296">
        <v>86</v>
      </c>
    </row>
    <row r="297" spans="1:9" x14ac:dyDescent="0.3">
      <c r="A297" t="s">
        <v>34</v>
      </c>
      <c r="B297" t="s">
        <v>16</v>
      </c>
      <c r="C297" t="s">
        <v>22</v>
      </c>
      <c r="D297" t="s">
        <v>21</v>
      </c>
      <c r="E297">
        <v>7371</v>
      </c>
      <c r="F297">
        <v>4686</v>
      </c>
      <c r="G297">
        <v>2685</v>
      </c>
      <c r="H297">
        <v>119</v>
      </c>
      <c r="I297">
        <v>21</v>
      </c>
    </row>
    <row r="298" spans="1:9" x14ac:dyDescent="0.3">
      <c r="A298" t="s">
        <v>34</v>
      </c>
      <c r="B298" t="s">
        <v>16</v>
      </c>
      <c r="C298" t="s">
        <v>22</v>
      </c>
      <c r="D298" t="s">
        <v>19</v>
      </c>
      <c r="E298">
        <v>2337</v>
      </c>
      <c r="F298">
        <v>1661</v>
      </c>
      <c r="G298">
        <v>676</v>
      </c>
      <c r="H298">
        <v>22</v>
      </c>
      <c r="I298">
        <v>19</v>
      </c>
    </row>
    <row r="299" spans="1:9" x14ac:dyDescent="0.3">
      <c r="A299" t="s">
        <v>34</v>
      </c>
      <c r="B299" t="s">
        <v>11</v>
      </c>
      <c r="C299" t="s">
        <v>13</v>
      </c>
      <c r="D299" t="s">
        <v>21</v>
      </c>
      <c r="E299">
        <v>13040</v>
      </c>
      <c r="F299">
        <v>9198</v>
      </c>
      <c r="G299">
        <v>3842</v>
      </c>
      <c r="H299">
        <v>96</v>
      </c>
      <c r="I299">
        <v>80</v>
      </c>
    </row>
    <row r="300" spans="1:9" x14ac:dyDescent="0.3">
      <c r="A300" t="s">
        <v>34</v>
      </c>
      <c r="B300" t="s">
        <v>11</v>
      </c>
      <c r="C300" t="s">
        <v>10</v>
      </c>
      <c r="D300" t="s">
        <v>19</v>
      </c>
      <c r="E300">
        <v>8490</v>
      </c>
      <c r="F300">
        <v>4862</v>
      </c>
      <c r="G300">
        <v>3628</v>
      </c>
      <c r="H300">
        <v>41</v>
      </c>
      <c r="I300">
        <v>30</v>
      </c>
    </row>
    <row r="301" spans="1:9" x14ac:dyDescent="0.3">
      <c r="A301" t="s">
        <v>34</v>
      </c>
      <c r="B301" t="s">
        <v>16</v>
      </c>
      <c r="C301" t="s">
        <v>22</v>
      </c>
      <c r="D301" t="s">
        <v>21</v>
      </c>
      <c r="E301">
        <v>17600</v>
      </c>
      <c r="F301">
        <v>11386</v>
      </c>
      <c r="G301">
        <v>6214</v>
      </c>
      <c r="H301">
        <v>96</v>
      </c>
      <c r="I301">
        <v>80</v>
      </c>
    </row>
    <row r="302" spans="1:9" x14ac:dyDescent="0.3">
      <c r="A302" t="s">
        <v>34</v>
      </c>
      <c r="B302" t="s">
        <v>11</v>
      </c>
      <c r="C302" t="s">
        <v>10</v>
      </c>
      <c r="D302" t="s">
        <v>25</v>
      </c>
      <c r="E302">
        <v>4056</v>
      </c>
      <c r="F302">
        <v>2917</v>
      </c>
      <c r="G302">
        <v>1139</v>
      </c>
      <c r="H302">
        <v>97</v>
      </c>
      <c r="I302">
        <v>12</v>
      </c>
    </row>
    <row r="303" spans="1:9" x14ac:dyDescent="0.3">
      <c r="A303" t="s">
        <v>34</v>
      </c>
      <c r="B303" t="s">
        <v>16</v>
      </c>
      <c r="C303" t="s">
        <v>15</v>
      </c>
      <c r="D303" t="s">
        <v>19</v>
      </c>
      <c r="E303">
        <v>6474</v>
      </c>
      <c r="F303">
        <v>4158</v>
      </c>
      <c r="G303">
        <v>2316</v>
      </c>
      <c r="H303">
        <v>53</v>
      </c>
      <c r="I303">
        <v>26</v>
      </c>
    </row>
    <row r="304" spans="1:9" x14ac:dyDescent="0.3">
      <c r="A304" t="s">
        <v>34</v>
      </c>
      <c r="B304" t="s">
        <v>18</v>
      </c>
      <c r="C304" t="s">
        <v>17</v>
      </c>
      <c r="D304" t="s">
        <v>12</v>
      </c>
      <c r="E304">
        <v>25761</v>
      </c>
      <c r="F304">
        <v>20280</v>
      </c>
      <c r="G304">
        <v>5481</v>
      </c>
      <c r="H304">
        <v>120</v>
      </c>
      <c r="I304">
        <v>93</v>
      </c>
    </row>
    <row r="305" spans="1:9" x14ac:dyDescent="0.3">
      <c r="A305" t="s">
        <v>34</v>
      </c>
      <c r="B305" t="s">
        <v>18</v>
      </c>
      <c r="C305" t="s">
        <v>17</v>
      </c>
      <c r="D305" t="s">
        <v>14</v>
      </c>
      <c r="E305">
        <v>5060</v>
      </c>
      <c r="F305">
        <v>2811</v>
      </c>
      <c r="G305">
        <v>2249</v>
      </c>
      <c r="H305">
        <v>99</v>
      </c>
      <c r="I305">
        <v>46</v>
      </c>
    </row>
    <row r="306" spans="1:9" x14ac:dyDescent="0.3">
      <c r="A306" t="s">
        <v>34</v>
      </c>
      <c r="B306" t="s">
        <v>16</v>
      </c>
      <c r="C306" t="s">
        <v>15</v>
      </c>
      <c r="D306" t="s">
        <v>21</v>
      </c>
      <c r="E306">
        <v>5296</v>
      </c>
      <c r="F306">
        <v>2914</v>
      </c>
      <c r="G306">
        <v>2382</v>
      </c>
      <c r="H306">
        <v>96</v>
      </c>
      <c r="I306">
        <v>16</v>
      </c>
    </row>
    <row r="307" spans="1:9" x14ac:dyDescent="0.3">
      <c r="A307" t="s">
        <v>35</v>
      </c>
      <c r="B307" t="s">
        <v>11</v>
      </c>
      <c r="C307" t="s">
        <v>13</v>
      </c>
      <c r="D307" t="s">
        <v>12</v>
      </c>
      <c r="E307">
        <v>5290</v>
      </c>
      <c r="F307">
        <v>2921</v>
      </c>
      <c r="G307">
        <v>2369</v>
      </c>
      <c r="H307">
        <v>43</v>
      </c>
      <c r="I307">
        <v>23</v>
      </c>
    </row>
    <row r="308" spans="1:9" x14ac:dyDescent="0.3">
      <c r="A308" t="s">
        <v>35</v>
      </c>
      <c r="B308" t="s">
        <v>16</v>
      </c>
      <c r="C308" t="s">
        <v>22</v>
      </c>
      <c r="D308" t="s">
        <v>19</v>
      </c>
      <c r="E308">
        <v>4240</v>
      </c>
      <c r="F308">
        <v>2990</v>
      </c>
      <c r="G308">
        <v>1250</v>
      </c>
      <c r="H308">
        <v>54</v>
      </c>
      <c r="I308">
        <v>16</v>
      </c>
    </row>
    <row r="309" spans="1:9" x14ac:dyDescent="0.3">
      <c r="A309" t="s">
        <v>35</v>
      </c>
      <c r="B309" t="s">
        <v>24</v>
      </c>
      <c r="C309" t="s">
        <v>23</v>
      </c>
      <c r="D309" t="s">
        <v>21</v>
      </c>
      <c r="E309">
        <v>12096</v>
      </c>
      <c r="F309">
        <v>9302</v>
      </c>
      <c r="G309">
        <v>2794</v>
      </c>
      <c r="H309">
        <v>73</v>
      </c>
      <c r="I309">
        <v>32</v>
      </c>
    </row>
    <row r="310" spans="1:9" x14ac:dyDescent="0.3">
      <c r="A310" t="s">
        <v>35</v>
      </c>
      <c r="B310" t="s">
        <v>11</v>
      </c>
      <c r="C310" t="s">
        <v>10</v>
      </c>
      <c r="D310" t="s">
        <v>14</v>
      </c>
      <c r="E310">
        <v>10556</v>
      </c>
      <c r="F310">
        <v>5713</v>
      </c>
      <c r="G310">
        <v>4843</v>
      </c>
      <c r="H310">
        <v>76</v>
      </c>
      <c r="I310">
        <v>58</v>
      </c>
    </row>
    <row r="311" spans="1:9" x14ac:dyDescent="0.3">
      <c r="A311" t="s">
        <v>35</v>
      </c>
      <c r="B311" t="s">
        <v>11</v>
      </c>
      <c r="C311" t="s">
        <v>10</v>
      </c>
      <c r="D311" t="s">
        <v>12</v>
      </c>
      <c r="E311">
        <v>21056</v>
      </c>
      <c r="F311">
        <v>16581</v>
      </c>
      <c r="G311">
        <v>4475</v>
      </c>
      <c r="H311">
        <v>99</v>
      </c>
      <c r="I311">
        <v>64</v>
      </c>
    </row>
    <row r="312" spans="1:9" x14ac:dyDescent="0.3">
      <c r="A312" t="s">
        <v>35</v>
      </c>
      <c r="B312" t="s">
        <v>24</v>
      </c>
      <c r="C312" t="s">
        <v>23</v>
      </c>
      <c r="D312" t="s">
        <v>14</v>
      </c>
      <c r="E312">
        <v>36487</v>
      </c>
      <c r="F312">
        <v>20299</v>
      </c>
      <c r="G312">
        <v>16188</v>
      </c>
      <c r="H312">
        <v>116</v>
      </c>
      <c r="I312">
        <v>107</v>
      </c>
    </row>
    <row r="313" spans="1:9" x14ac:dyDescent="0.3">
      <c r="A313" t="s">
        <v>35</v>
      </c>
      <c r="B313" t="s">
        <v>18</v>
      </c>
      <c r="C313" t="s">
        <v>17</v>
      </c>
      <c r="D313" t="s">
        <v>12</v>
      </c>
      <c r="E313">
        <v>9114</v>
      </c>
      <c r="F313">
        <v>5152</v>
      </c>
      <c r="G313">
        <v>3962</v>
      </c>
      <c r="H313">
        <v>48</v>
      </c>
      <c r="I313">
        <v>21</v>
      </c>
    </row>
    <row r="314" spans="1:9" x14ac:dyDescent="0.3">
      <c r="A314" t="s">
        <v>35</v>
      </c>
      <c r="B314" t="s">
        <v>18</v>
      </c>
      <c r="C314" t="s">
        <v>17</v>
      </c>
      <c r="D314" t="s">
        <v>21</v>
      </c>
      <c r="E314">
        <v>3333</v>
      </c>
      <c r="F314">
        <v>2118</v>
      </c>
      <c r="G314">
        <v>1215</v>
      </c>
      <c r="H314">
        <v>35</v>
      </c>
      <c r="I314">
        <v>11</v>
      </c>
    </row>
    <row r="315" spans="1:9" x14ac:dyDescent="0.3">
      <c r="A315" t="s">
        <v>35</v>
      </c>
      <c r="B315" t="s">
        <v>11</v>
      </c>
      <c r="C315" t="s">
        <v>13</v>
      </c>
      <c r="D315" t="s">
        <v>21</v>
      </c>
      <c r="E315">
        <v>14364</v>
      </c>
      <c r="F315">
        <v>7523</v>
      </c>
      <c r="G315">
        <v>6841</v>
      </c>
      <c r="H315">
        <v>84</v>
      </c>
      <c r="I315">
        <v>42</v>
      </c>
    </row>
    <row r="316" spans="1:9" x14ac:dyDescent="0.3">
      <c r="A316" t="s">
        <v>35</v>
      </c>
      <c r="B316" t="s">
        <v>16</v>
      </c>
      <c r="C316" t="s">
        <v>15</v>
      </c>
      <c r="D316" t="s">
        <v>19</v>
      </c>
      <c r="E316">
        <v>5742</v>
      </c>
      <c r="F316">
        <v>4213</v>
      </c>
      <c r="G316">
        <v>1529</v>
      </c>
      <c r="H316">
        <v>49</v>
      </c>
      <c r="I316">
        <v>33</v>
      </c>
    </row>
    <row r="317" spans="1:9" x14ac:dyDescent="0.3">
      <c r="A317" t="s">
        <v>35</v>
      </c>
      <c r="B317" t="s">
        <v>11</v>
      </c>
      <c r="C317" t="s">
        <v>13</v>
      </c>
      <c r="D317" t="s">
        <v>14</v>
      </c>
      <c r="E317">
        <v>5292</v>
      </c>
      <c r="F317">
        <v>3846</v>
      </c>
      <c r="G317">
        <v>1446</v>
      </c>
      <c r="H317">
        <v>59</v>
      </c>
      <c r="I317">
        <v>42</v>
      </c>
    </row>
    <row r="318" spans="1:9" x14ac:dyDescent="0.3">
      <c r="A318" t="s">
        <v>35</v>
      </c>
      <c r="B318" t="s">
        <v>24</v>
      </c>
      <c r="C318" t="s">
        <v>23</v>
      </c>
      <c r="D318" t="s">
        <v>12</v>
      </c>
      <c r="E318">
        <v>8325</v>
      </c>
      <c r="F318">
        <v>4940</v>
      </c>
      <c r="G318">
        <v>3385</v>
      </c>
      <c r="H318">
        <v>82</v>
      </c>
      <c r="I318">
        <v>45</v>
      </c>
    </row>
    <row r="319" spans="1:9" x14ac:dyDescent="0.3">
      <c r="A319" t="s">
        <v>35</v>
      </c>
      <c r="B319" t="s">
        <v>16</v>
      </c>
      <c r="C319" t="s">
        <v>15</v>
      </c>
      <c r="D319" t="s">
        <v>21</v>
      </c>
      <c r="E319">
        <v>2240</v>
      </c>
      <c r="F319">
        <v>1631</v>
      </c>
      <c r="G319">
        <v>609</v>
      </c>
      <c r="H319">
        <v>113</v>
      </c>
      <c r="I319">
        <v>14</v>
      </c>
    </row>
    <row r="320" spans="1:9" x14ac:dyDescent="0.3">
      <c r="A320" t="s">
        <v>35</v>
      </c>
      <c r="B320" t="s">
        <v>11</v>
      </c>
      <c r="C320" t="s">
        <v>13</v>
      </c>
      <c r="D320" t="s">
        <v>21</v>
      </c>
      <c r="E320">
        <v>3523</v>
      </c>
      <c r="F320">
        <v>2539</v>
      </c>
      <c r="G320">
        <v>984</v>
      </c>
      <c r="H320">
        <v>54</v>
      </c>
      <c r="I320">
        <v>13</v>
      </c>
    </row>
    <row r="321" spans="1:9" x14ac:dyDescent="0.3">
      <c r="A321" t="s">
        <v>35</v>
      </c>
      <c r="B321" t="s">
        <v>18</v>
      </c>
      <c r="C321" t="s">
        <v>17</v>
      </c>
      <c r="D321" t="s">
        <v>25</v>
      </c>
      <c r="E321">
        <v>8132</v>
      </c>
      <c r="F321">
        <v>6090</v>
      </c>
      <c r="G321">
        <v>2042</v>
      </c>
      <c r="H321">
        <v>58</v>
      </c>
      <c r="I321">
        <v>38</v>
      </c>
    </row>
    <row r="322" spans="1:9" x14ac:dyDescent="0.3">
      <c r="A322" t="s">
        <v>35</v>
      </c>
      <c r="B322" t="s">
        <v>11</v>
      </c>
      <c r="C322" t="s">
        <v>10</v>
      </c>
      <c r="D322" t="s">
        <v>14</v>
      </c>
      <c r="E322">
        <v>18050</v>
      </c>
      <c r="F322">
        <v>9159</v>
      </c>
      <c r="G322">
        <v>8891</v>
      </c>
      <c r="H322">
        <v>99</v>
      </c>
      <c r="I322">
        <v>50</v>
      </c>
    </row>
    <row r="323" spans="1:9" x14ac:dyDescent="0.3">
      <c r="A323" t="s">
        <v>35</v>
      </c>
      <c r="B323" t="s">
        <v>18</v>
      </c>
      <c r="C323" t="s">
        <v>17</v>
      </c>
      <c r="D323" t="s">
        <v>12</v>
      </c>
      <c r="E323">
        <v>25080</v>
      </c>
      <c r="F323">
        <v>13220</v>
      </c>
      <c r="G323">
        <v>11860</v>
      </c>
      <c r="H323">
        <v>67</v>
      </c>
      <c r="I323">
        <v>66</v>
      </c>
    </row>
    <row r="324" spans="1:9" x14ac:dyDescent="0.3">
      <c r="A324" t="s">
        <v>35</v>
      </c>
      <c r="B324" t="s">
        <v>16</v>
      </c>
      <c r="C324" t="s">
        <v>15</v>
      </c>
      <c r="D324" t="s">
        <v>19</v>
      </c>
      <c r="E324">
        <v>7047</v>
      </c>
      <c r="F324">
        <v>4342</v>
      </c>
      <c r="G324">
        <v>2705</v>
      </c>
      <c r="H324">
        <v>37</v>
      </c>
      <c r="I324">
        <v>29</v>
      </c>
    </row>
    <row r="325" spans="1:9" x14ac:dyDescent="0.3">
      <c r="A325" t="s">
        <v>35</v>
      </c>
      <c r="B325" t="s">
        <v>11</v>
      </c>
      <c r="C325" t="s">
        <v>13</v>
      </c>
      <c r="D325" t="s">
        <v>19</v>
      </c>
      <c r="E325">
        <v>5916</v>
      </c>
      <c r="F325">
        <v>4497</v>
      </c>
      <c r="G325">
        <v>1419</v>
      </c>
      <c r="H325">
        <v>20</v>
      </c>
      <c r="I325">
        <v>12</v>
      </c>
    </row>
    <row r="326" spans="1:9" x14ac:dyDescent="0.3">
      <c r="A326" t="s">
        <v>35</v>
      </c>
      <c r="B326" t="s">
        <v>11</v>
      </c>
      <c r="C326" t="s">
        <v>10</v>
      </c>
      <c r="D326" t="s">
        <v>14</v>
      </c>
      <c r="E326">
        <v>15228</v>
      </c>
      <c r="F326">
        <v>10021</v>
      </c>
      <c r="G326">
        <v>5207</v>
      </c>
      <c r="H326">
        <v>117</v>
      </c>
      <c r="I326">
        <v>36</v>
      </c>
    </row>
    <row r="327" spans="1:9" x14ac:dyDescent="0.3">
      <c r="A327" t="s">
        <v>35</v>
      </c>
      <c r="B327" t="s">
        <v>16</v>
      </c>
      <c r="C327" t="s">
        <v>22</v>
      </c>
      <c r="D327" t="s">
        <v>19</v>
      </c>
      <c r="E327">
        <v>12096</v>
      </c>
      <c r="F327">
        <v>8314</v>
      </c>
      <c r="G327">
        <v>3782</v>
      </c>
      <c r="H327">
        <v>119</v>
      </c>
      <c r="I327">
        <v>84</v>
      </c>
    </row>
    <row r="328" spans="1:9" x14ac:dyDescent="0.3">
      <c r="A328" t="s">
        <v>35</v>
      </c>
      <c r="B328" t="s">
        <v>16</v>
      </c>
      <c r="C328" t="s">
        <v>20</v>
      </c>
      <c r="D328" t="s">
        <v>19</v>
      </c>
      <c r="E328">
        <v>4356</v>
      </c>
      <c r="F328">
        <v>2369</v>
      </c>
      <c r="G328">
        <v>1987</v>
      </c>
      <c r="H328">
        <v>50</v>
      </c>
      <c r="I328">
        <v>36</v>
      </c>
    </row>
    <row r="329" spans="1:9" x14ac:dyDescent="0.3">
      <c r="A329" t="s">
        <v>35</v>
      </c>
      <c r="B329" t="s">
        <v>16</v>
      </c>
      <c r="C329" t="s">
        <v>15</v>
      </c>
      <c r="D329" t="s">
        <v>19</v>
      </c>
      <c r="E329">
        <v>10098</v>
      </c>
      <c r="F329">
        <v>7907</v>
      </c>
      <c r="G329">
        <v>2191</v>
      </c>
      <c r="H329">
        <v>48</v>
      </c>
      <c r="I329">
        <v>33</v>
      </c>
    </row>
    <row r="330" spans="1:9" x14ac:dyDescent="0.3">
      <c r="A330" t="s">
        <v>35</v>
      </c>
      <c r="B330" t="s">
        <v>11</v>
      </c>
      <c r="C330" t="s">
        <v>10</v>
      </c>
      <c r="D330" t="s">
        <v>21</v>
      </c>
      <c r="E330">
        <v>5757</v>
      </c>
      <c r="F330">
        <v>3644</v>
      </c>
      <c r="G330">
        <v>2113</v>
      </c>
      <c r="H330">
        <v>30</v>
      </c>
      <c r="I330">
        <v>19</v>
      </c>
    </row>
    <row r="331" spans="1:9" x14ac:dyDescent="0.3">
      <c r="A331" t="s">
        <v>35</v>
      </c>
      <c r="B331" t="s">
        <v>16</v>
      </c>
      <c r="C331" t="s">
        <v>15</v>
      </c>
      <c r="D331" t="s">
        <v>12</v>
      </c>
      <c r="E331">
        <v>6240</v>
      </c>
      <c r="F331">
        <v>4428</v>
      </c>
      <c r="G331">
        <v>1812</v>
      </c>
      <c r="H331">
        <v>88</v>
      </c>
      <c r="I331">
        <v>40</v>
      </c>
    </row>
    <row r="332" spans="1:9" x14ac:dyDescent="0.3">
      <c r="A332" t="s">
        <v>35</v>
      </c>
      <c r="B332" t="s">
        <v>16</v>
      </c>
      <c r="C332" t="s">
        <v>20</v>
      </c>
      <c r="D332" t="s">
        <v>14</v>
      </c>
      <c r="E332">
        <v>46800</v>
      </c>
      <c r="F332">
        <v>33654</v>
      </c>
      <c r="G332">
        <v>13146</v>
      </c>
      <c r="H332">
        <v>118</v>
      </c>
      <c r="I332">
        <v>117</v>
      </c>
    </row>
    <row r="333" spans="1:9" x14ac:dyDescent="0.3">
      <c r="A333" t="s">
        <v>35</v>
      </c>
      <c r="B333" t="s">
        <v>18</v>
      </c>
      <c r="C333" t="s">
        <v>17</v>
      </c>
      <c r="D333" t="s">
        <v>19</v>
      </c>
      <c r="E333">
        <v>10363</v>
      </c>
      <c r="F333">
        <v>5736</v>
      </c>
      <c r="G333">
        <v>4627</v>
      </c>
      <c r="H333">
        <v>73</v>
      </c>
      <c r="I333">
        <v>43</v>
      </c>
    </row>
    <row r="334" spans="1:9" x14ac:dyDescent="0.3">
      <c r="A334" t="s">
        <v>35</v>
      </c>
      <c r="B334" t="s">
        <v>11</v>
      </c>
      <c r="C334" t="s">
        <v>10</v>
      </c>
      <c r="D334" t="s">
        <v>12</v>
      </c>
      <c r="E334">
        <v>8313</v>
      </c>
      <c r="F334">
        <v>4340</v>
      </c>
      <c r="G334">
        <v>3973</v>
      </c>
      <c r="H334">
        <v>22</v>
      </c>
      <c r="I334">
        <v>17</v>
      </c>
    </row>
    <row r="335" spans="1:9" x14ac:dyDescent="0.3">
      <c r="A335" t="s">
        <v>35</v>
      </c>
      <c r="B335" t="s">
        <v>11</v>
      </c>
      <c r="C335" t="s">
        <v>10</v>
      </c>
      <c r="D335" t="s">
        <v>25</v>
      </c>
      <c r="E335">
        <v>20855</v>
      </c>
      <c r="F335">
        <v>15738</v>
      </c>
      <c r="G335">
        <v>5117</v>
      </c>
      <c r="H335">
        <v>58</v>
      </c>
      <c r="I335">
        <v>43</v>
      </c>
    </row>
    <row r="336" spans="1:9" x14ac:dyDescent="0.3">
      <c r="A336" t="s">
        <v>35</v>
      </c>
      <c r="B336" t="s">
        <v>16</v>
      </c>
      <c r="C336" t="s">
        <v>15</v>
      </c>
      <c r="D336" t="s">
        <v>21</v>
      </c>
      <c r="E336">
        <v>1836</v>
      </c>
      <c r="F336">
        <v>1444</v>
      </c>
      <c r="G336">
        <v>392</v>
      </c>
      <c r="H336">
        <v>20</v>
      </c>
      <c r="I336">
        <v>17</v>
      </c>
    </row>
    <row r="337" spans="1:9" x14ac:dyDescent="0.3">
      <c r="A337" t="s">
        <v>36</v>
      </c>
      <c r="B337" t="s">
        <v>18</v>
      </c>
      <c r="C337" t="s">
        <v>17</v>
      </c>
      <c r="D337" t="s">
        <v>21</v>
      </c>
      <c r="E337">
        <v>12696</v>
      </c>
      <c r="F337">
        <v>7298</v>
      </c>
      <c r="G337">
        <v>5398</v>
      </c>
      <c r="H337">
        <v>49</v>
      </c>
      <c r="I337">
        <v>46</v>
      </c>
    </row>
    <row r="338" spans="1:9" x14ac:dyDescent="0.3">
      <c r="A338" t="s">
        <v>36</v>
      </c>
      <c r="B338" t="s">
        <v>24</v>
      </c>
      <c r="C338" t="s">
        <v>23</v>
      </c>
      <c r="D338" t="s">
        <v>19</v>
      </c>
      <c r="E338">
        <v>17584</v>
      </c>
      <c r="F338">
        <v>14049</v>
      </c>
      <c r="G338">
        <v>3535</v>
      </c>
      <c r="H338">
        <v>75</v>
      </c>
      <c r="I338">
        <v>56</v>
      </c>
    </row>
    <row r="339" spans="1:9" x14ac:dyDescent="0.3">
      <c r="A339" t="s">
        <v>36</v>
      </c>
      <c r="B339" t="s">
        <v>18</v>
      </c>
      <c r="C339" t="s">
        <v>17</v>
      </c>
      <c r="D339" t="s">
        <v>12</v>
      </c>
      <c r="E339">
        <v>3772</v>
      </c>
      <c r="F339">
        <v>2788</v>
      </c>
      <c r="G339">
        <v>984</v>
      </c>
      <c r="H339">
        <v>50</v>
      </c>
      <c r="I339">
        <v>23</v>
      </c>
    </row>
    <row r="340" spans="1:9" x14ac:dyDescent="0.3">
      <c r="A340" t="s">
        <v>36</v>
      </c>
      <c r="B340" t="s">
        <v>16</v>
      </c>
      <c r="C340" t="s">
        <v>22</v>
      </c>
      <c r="D340" t="s">
        <v>25</v>
      </c>
      <c r="E340">
        <v>13056</v>
      </c>
      <c r="F340">
        <v>7925</v>
      </c>
      <c r="G340">
        <v>5131</v>
      </c>
      <c r="H340">
        <v>120</v>
      </c>
      <c r="I340">
        <v>102</v>
      </c>
    </row>
    <row r="341" spans="1:9" x14ac:dyDescent="0.3">
      <c r="A341" t="s">
        <v>36</v>
      </c>
      <c r="B341" t="s">
        <v>11</v>
      </c>
      <c r="C341" t="s">
        <v>10</v>
      </c>
      <c r="D341" t="s">
        <v>25</v>
      </c>
      <c r="E341">
        <v>8405</v>
      </c>
      <c r="F341">
        <v>4595</v>
      </c>
      <c r="G341">
        <v>3810</v>
      </c>
      <c r="H341">
        <v>73</v>
      </c>
      <c r="I341">
        <v>41</v>
      </c>
    </row>
    <row r="342" spans="1:9" x14ac:dyDescent="0.3">
      <c r="A342" t="s">
        <v>36</v>
      </c>
      <c r="B342" t="s">
        <v>16</v>
      </c>
      <c r="C342" t="s">
        <v>20</v>
      </c>
      <c r="D342" t="s">
        <v>25</v>
      </c>
      <c r="E342">
        <v>8968</v>
      </c>
      <c r="F342">
        <v>6101</v>
      </c>
      <c r="G342">
        <v>2867</v>
      </c>
      <c r="H342">
        <v>100</v>
      </c>
      <c r="I342">
        <v>76</v>
      </c>
    </row>
    <row r="343" spans="1:9" x14ac:dyDescent="0.3">
      <c r="A343" t="s">
        <v>36</v>
      </c>
      <c r="B343" t="s">
        <v>24</v>
      </c>
      <c r="C343" t="s">
        <v>23</v>
      </c>
      <c r="D343" t="s">
        <v>25</v>
      </c>
      <c r="E343">
        <v>4050</v>
      </c>
      <c r="F343">
        <v>2376</v>
      </c>
      <c r="G343">
        <v>1674</v>
      </c>
      <c r="H343">
        <v>21</v>
      </c>
      <c r="I343">
        <v>10</v>
      </c>
    </row>
    <row r="344" spans="1:9" x14ac:dyDescent="0.3">
      <c r="A344" t="s">
        <v>36</v>
      </c>
      <c r="B344" t="s">
        <v>11</v>
      </c>
      <c r="C344" t="s">
        <v>13</v>
      </c>
      <c r="D344" t="s">
        <v>21</v>
      </c>
      <c r="E344">
        <v>7598</v>
      </c>
      <c r="F344">
        <v>3973</v>
      </c>
      <c r="G344">
        <v>3625</v>
      </c>
      <c r="H344">
        <v>87</v>
      </c>
      <c r="I344">
        <v>29</v>
      </c>
    </row>
    <row r="345" spans="1:9" x14ac:dyDescent="0.3">
      <c r="A345" t="s">
        <v>36</v>
      </c>
      <c r="B345" t="s">
        <v>16</v>
      </c>
      <c r="C345" t="s">
        <v>15</v>
      </c>
      <c r="D345" t="s">
        <v>19</v>
      </c>
      <c r="E345">
        <v>13040</v>
      </c>
      <c r="F345">
        <v>9296</v>
      </c>
      <c r="G345">
        <v>3744</v>
      </c>
      <c r="H345">
        <v>80</v>
      </c>
      <c r="I345">
        <v>40</v>
      </c>
    </row>
    <row r="346" spans="1:9" x14ac:dyDescent="0.3">
      <c r="A346" t="s">
        <v>36</v>
      </c>
      <c r="B346" t="s">
        <v>16</v>
      </c>
      <c r="C346" t="s">
        <v>20</v>
      </c>
      <c r="D346" t="s">
        <v>25</v>
      </c>
      <c r="E346">
        <v>28044</v>
      </c>
      <c r="F346">
        <v>14575</v>
      </c>
      <c r="G346">
        <v>13469</v>
      </c>
      <c r="H346">
        <v>95</v>
      </c>
      <c r="I346">
        <v>76</v>
      </c>
    </row>
    <row r="347" spans="1:9" x14ac:dyDescent="0.3">
      <c r="A347" t="s">
        <v>36</v>
      </c>
      <c r="B347" t="s">
        <v>11</v>
      </c>
      <c r="C347" t="s">
        <v>13</v>
      </c>
      <c r="D347" t="s">
        <v>21</v>
      </c>
      <c r="E347">
        <v>17355</v>
      </c>
      <c r="F347">
        <v>13128</v>
      </c>
      <c r="G347">
        <v>4227</v>
      </c>
      <c r="H347">
        <v>104</v>
      </c>
      <c r="I347">
        <v>65</v>
      </c>
    </row>
    <row r="348" spans="1:9" x14ac:dyDescent="0.3">
      <c r="A348" t="s">
        <v>36</v>
      </c>
      <c r="B348" t="s">
        <v>11</v>
      </c>
      <c r="C348" t="s">
        <v>13</v>
      </c>
      <c r="D348" t="s">
        <v>25</v>
      </c>
      <c r="E348">
        <v>13764</v>
      </c>
      <c r="F348">
        <v>8032</v>
      </c>
      <c r="G348">
        <v>5732</v>
      </c>
      <c r="H348">
        <v>76</v>
      </c>
      <c r="I348">
        <v>62</v>
      </c>
    </row>
    <row r="349" spans="1:9" x14ac:dyDescent="0.3">
      <c r="A349" t="s">
        <v>36</v>
      </c>
      <c r="B349" t="s">
        <v>11</v>
      </c>
      <c r="C349" t="s">
        <v>10</v>
      </c>
      <c r="D349" t="s">
        <v>12</v>
      </c>
      <c r="E349">
        <v>21018</v>
      </c>
      <c r="F349">
        <v>16359</v>
      </c>
      <c r="G349">
        <v>4659</v>
      </c>
      <c r="H349">
        <v>79</v>
      </c>
      <c r="I349">
        <v>62</v>
      </c>
    </row>
    <row r="350" spans="1:9" x14ac:dyDescent="0.3">
      <c r="A350" t="s">
        <v>36</v>
      </c>
      <c r="B350" t="s">
        <v>16</v>
      </c>
      <c r="C350" t="s">
        <v>15</v>
      </c>
      <c r="D350" t="s">
        <v>21</v>
      </c>
      <c r="E350">
        <v>10230</v>
      </c>
      <c r="F350">
        <v>7990</v>
      </c>
      <c r="G350">
        <v>2240</v>
      </c>
      <c r="H350">
        <v>34</v>
      </c>
      <c r="I350">
        <v>22</v>
      </c>
    </row>
    <row r="351" spans="1:9" x14ac:dyDescent="0.3">
      <c r="A351" t="s">
        <v>36</v>
      </c>
      <c r="B351" t="s">
        <v>16</v>
      </c>
      <c r="C351" t="s">
        <v>20</v>
      </c>
      <c r="D351" t="s">
        <v>21</v>
      </c>
      <c r="E351">
        <v>8424</v>
      </c>
      <c r="F351">
        <v>5944</v>
      </c>
      <c r="G351">
        <v>2480</v>
      </c>
      <c r="H351">
        <v>89</v>
      </c>
      <c r="I351">
        <v>24</v>
      </c>
    </row>
    <row r="352" spans="1:9" x14ac:dyDescent="0.3">
      <c r="A352" t="s">
        <v>36</v>
      </c>
      <c r="B352" t="s">
        <v>16</v>
      </c>
      <c r="C352" t="s">
        <v>20</v>
      </c>
      <c r="D352" t="s">
        <v>12</v>
      </c>
      <c r="E352">
        <v>5216</v>
      </c>
      <c r="F352">
        <v>3375</v>
      </c>
      <c r="G352">
        <v>1841</v>
      </c>
      <c r="H352">
        <v>56</v>
      </c>
      <c r="I352">
        <v>32</v>
      </c>
    </row>
    <row r="353" spans="1:9" x14ac:dyDescent="0.3">
      <c r="A353" t="s">
        <v>36</v>
      </c>
      <c r="B353" t="s">
        <v>16</v>
      </c>
      <c r="C353" t="s">
        <v>20</v>
      </c>
      <c r="D353" t="s">
        <v>12</v>
      </c>
      <c r="E353">
        <v>11850</v>
      </c>
      <c r="F353">
        <v>8203</v>
      </c>
      <c r="G353">
        <v>3647</v>
      </c>
      <c r="H353">
        <v>53</v>
      </c>
      <c r="I353">
        <v>50</v>
      </c>
    </row>
    <row r="354" spans="1:9" x14ac:dyDescent="0.3">
      <c r="A354" t="s">
        <v>36</v>
      </c>
      <c r="B354" t="s">
        <v>24</v>
      </c>
      <c r="C354" t="s">
        <v>23</v>
      </c>
      <c r="D354" t="s">
        <v>14</v>
      </c>
      <c r="E354">
        <v>1960</v>
      </c>
      <c r="F354">
        <v>1366</v>
      </c>
      <c r="G354">
        <v>594</v>
      </c>
      <c r="H354">
        <v>29</v>
      </c>
      <c r="I354">
        <v>10</v>
      </c>
    </row>
    <row r="355" spans="1:9" x14ac:dyDescent="0.3">
      <c r="A355" t="s">
        <v>36</v>
      </c>
      <c r="B355" t="s">
        <v>24</v>
      </c>
      <c r="C355" t="s">
        <v>23</v>
      </c>
      <c r="D355" t="s">
        <v>19</v>
      </c>
      <c r="E355">
        <v>10560</v>
      </c>
      <c r="F355">
        <v>6231</v>
      </c>
      <c r="G355">
        <v>4329</v>
      </c>
      <c r="H355">
        <v>92</v>
      </c>
      <c r="I355">
        <v>66</v>
      </c>
    </row>
    <row r="356" spans="1:9" x14ac:dyDescent="0.3">
      <c r="A356" t="s">
        <v>36</v>
      </c>
      <c r="B356" t="s">
        <v>16</v>
      </c>
      <c r="C356" t="s">
        <v>15</v>
      </c>
      <c r="D356" t="s">
        <v>12</v>
      </c>
      <c r="E356">
        <v>18032</v>
      </c>
      <c r="F356">
        <v>10649</v>
      </c>
      <c r="G356">
        <v>7383</v>
      </c>
      <c r="H356">
        <v>50</v>
      </c>
      <c r="I356">
        <v>46</v>
      </c>
    </row>
    <row r="357" spans="1:9" x14ac:dyDescent="0.3">
      <c r="A357" t="s">
        <v>36</v>
      </c>
      <c r="B357" t="s">
        <v>24</v>
      </c>
      <c r="C357" t="s">
        <v>23</v>
      </c>
      <c r="D357" t="s">
        <v>19</v>
      </c>
      <c r="E357">
        <v>5550</v>
      </c>
      <c r="F357">
        <v>2891</v>
      </c>
      <c r="G357">
        <v>2659</v>
      </c>
      <c r="H357">
        <v>80</v>
      </c>
      <c r="I357">
        <v>50</v>
      </c>
    </row>
    <row r="358" spans="1:9" x14ac:dyDescent="0.3">
      <c r="A358" t="s">
        <v>36</v>
      </c>
      <c r="B358" t="s">
        <v>16</v>
      </c>
      <c r="C358" t="s">
        <v>22</v>
      </c>
      <c r="D358" t="s">
        <v>14</v>
      </c>
      <c r="E358">
        <v>15824</v>
      </c>
      <c r="F358">
        <v>10993</v>
      </c>
      <c r="G358">
        <v>4831</v>
      </c>
      <c r="H358">
        <v>96</v>
      </c>
      <c r="I358">
        <v>92</v>
      </c>
    </row>
    <row r="359" spans="1:9" x14ac:dyDescent="0.3">
      <c r="A359" t="s">
        <v>36</v>
      </c>
      <c r="B359" t="s">
        <v>11</v>
      </c>
      <c r="C359" t="s">
        <v>13</v>
      </c>
      <c r="D359" t="s">
        <v>25</v>
      </c>
      <c r="E359">
        <v>8869</v>
      </c>
      <c r="F359">
        <v>5870</v>
      </c>
      <c r="G359">
        <v>2999</v>
      </c>
      <c r="H359">
        <v>89</v>
      </c>
      <c r="I359">
        <v>49</v>
      </c>
    </row>
    <row r="360" spans="1:9" x14ac:dyDescent="0.3">
      <c r="A360" t="s">
        <v>36</v>
      </c>
      <c r="B360" t="s">
        <v>16</v>
      </c>
      <c r="C360" t="s">
        <v>20</v>
      </c>
      <c r="D360" t="s">
        <v>12</v>
      </c>
      <c r="E360">
        <v>18216</v>
      </c>
      <c r="F360">
        <v>12487</v>
      </c>
      <c r="G360">
        <v>5729</v>
      </c>
      <c r="H360">
        <v>74</v>
      </c>
      <c r="I360">
        <v>69</v>
      </c>
    </row>
    <row r="361" spans="1:9" x14ac:dyDescent="0.3">
      <c r="A361" t="s">
        <v>36</v>
      </c>
      <c r="B361" t="s">
        <v>24</v>
      </c>
      <c r="C361" t="s">
        <v>23</v>
      </c>
      <c r="D361" t="s">
        <v>21</v>
      </c>
      <c r="E361">
        <v>10080</v>
      </c>
      <c r="F361">
        <v>7437</v>
      </c>
      <c r="G361">
        <v>2643</v>
      </c>
      <c r="H361">
        <v>93</v>
      </c>
      <c r="I361">
        <v>28</v>
      </c>
    </row>
    <row r="362" spans="1:9" x14ac:dyDescent="0.3">
      <c r="A362" t="s">
        <v>36</v>
      </c>
      <c r="B362" t="s">
        <v>16</v>
      </c>
      <c r="C362" t="s">
        <v>22</v>
      </c>
      <c r="D362" t="s">
        <v>21</v>
      </c>
      <c r="E362">
        <v>17080</v>
      </c>
      <c r="F362">
        <v>12218</v>
      </c>
      <c r="G362">
        <v>4862</v>
      </c>
      <c r="H362">
        <v>97</v>
      </c>
      <c r="I362">
        <v>35</v>
      </c>
    </row>
    <row r="363" spans="1:9" x14ac:dyDescent="0.3">
      <c r="A363" t="s">
        <v>36</v>
      </c>
      <c r="B363" t="s">
        <v>24</v>
      </c>
      <c r="C363" t="s">
        <v>23</v>
      </c>
      <c r="D363" t="s">
        <v>12</v>
      </c>
      <c r="E363">
        <v>6080</v>
      </c>
      <c r="F363">
        <v>3826</v>
      </c>
      <c r="G363">
        <v>2254</v>
      </c>
      <c r="H363">
        <v>106</v>
      </c>
      <c r="I363">
        <v>16</v>
      </c>
    </row>
    <row r="364" spans="1:9" x14ac:dyDescent="0.3">
      <c r="A364" t="s">
        <v>36</v>
      </c>
      <c r="B364" t="s">
        <v>16</v>
      </c>
      <c r="C364" t="s">
        <v>22</v>
      </c>
      <c r="D364" t="s">
        <v>14</v>
      </c>
      <c r="E364">
        <v>17616</v>
      </c>
      <c r="F364">
        <v>14033</v>
      </c>
      <c r="G364">
        <v>3583</v>
      </c>
      <c r="H364">
        <v>88</v>
      </c>
      <c r="I364">
        <v>48</v>
      </c>
    </row>
    <row r="365" spans="1:9" x14ac:dyDescent="0.3">
      <c r="A365" t="s">
        <v>36</v>
      </c>
      <c r="B365" t="s">
        <v>11</v>
      </c>
      <c r="C365" t="s">
        <v>10</v>
      </c>
      <c r="D365" t="s">
        <v>14</v>
      </c>
      <c r="E365">
        <v>12825</v>
      </c>
      <c r="F365">
        <v>8105</v>
      </c>
      <c r="G365">
        <v>4720</v>
      </c>
      <c r="H365">
        <v>106</v>
      </c>
      <c r="I365">
        <v>95</v>
      </c>
    </row>
    <row r="366" spans="1:9" x14ac:dyDescent="0.3">
      <c r="A366" t="s">
        <v>36</v>
      </c>
      <c r="B366" t="s">
        <v>11</v>
      </c>
      <c r="C366" t="s">
        <v>13</v>
      </c>
      <c r="D366" t="s">
        <v>19</v>
      </c>
      <c r="E366">
        <v>21982</v>
      </c>
      <c r="F366">
        <v>15563</v>
      </c>
      <c r="G366">
        <v>6419</v>
      </c>
      <c r="H366">
        <v>120</v>
      </c>
      <c r="I366">
        <v>58</v>
      </c>
    </row>
  </sheetData>
  <phoneticPr fontId="10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76C20-8B06-43F7-985C-A70384BBE5C3}">
  <sheetPr codeName="Sheet14">
    <tabColor rgb="FF4472C4"/>
  </sheetPr>
  <dimension ref="A1:V16"/>
  <sheetViews>
    <sheetView workbookViewId="0"/>
  </sheetViews>
  <sheetFormatPr defaultRowHeight="14.4" x14ac:dyDescent="0.3"/>
  <cols>
    <col min="1" max="1" width="10.77734375" bestFit="1" customWidth="1"/>
    <col min="2" max="2" width="13.109375" bestFit="1" customWidth="1"/>
    <col min="3" max="3" width="10.33203125" bestFit="1" customWidth="1"/>
    <col min="4" max="4" width="13.44140625" bestFit="1" customWidth="1"/>
    <col min="5" max="5" width="9" bestFit="1" customWidth="1"/>
    <col min="7" max="7" width="10.77734375" bestFit="1" customWidth="1"/>
    <col min="8" max="8" width="13.109375" bestFit="1" customWidth="1"/>
    <col min="9" max="9" width="10.33203125" bestFit="1" customWidth="1"/>
    <col min="11" max="11" width="16.109375" bestFit="1" customWidth="1"/>
    <col min="12" max="12" width="13.109375" bestFit="1" customWidth="1"/>
    <col min="13" max="13" width="10.33203125" bestFit="1" customWidth="1"/>
    <col min="14" max="14" width="9" bestFit="1" customWidth="1"/>
    <col min="16" max="16" width="10.77734375" bestFit="1" customWidth="1"/>
    <col min="17" max="17" width="13.109375" bestFit="1" customWidth="1"/>
    <col min="18" max="18" width="10.33203125" bestFit="1" customWidth="1"/>
    <col min="20" max="20" width="10.77734375" bestFit="1" customWidth="1"/>
    <col min="21" max="21" width="7.33203125" bestFit="1" customWidth="1"/>
    <col min="22" max="22" width="8.77734375" bestFit="1" customWidth="1"/>
  </cols>
  <sheetData>
    <row r="1" spans="1:22" x14ac:dyDescent="0.3">
      <c r="A1" s="5" t="s">
        <v>43</v>
      </c>
      <c r="B1" s="5"/>
      <c r="C1" s="5"/>
      <c r="D1" s="5"/>
      <c r="E1" s="5"/>
      <c r="G1" s="5" t="s">
        <v>44</v>
      </c>
      <c r="H1" s="5"/>
      <c r="I1" s="5"/>
      <c r="K1" s="5" t="s">
        <v>45</v>
      </c>
      <c r="L1" s="5"/>
      <c r="M1" s="5"/>
      <c r="N1" s="5"/>
      <c r="P1" s="5" t="s">
        <v>46</v>
      </c>
      <c r="Q1" s="5"/>
      <c r="R1" s="5"/>
      <c r="T1" s="5" t="s">
        <v>49</v>
      </c>
      <c r="U1" s="5"/>
      <c r="V1" s="5"/>
    </row>
    <row r="2" spans="1:22" x14ac:dyDescent="0.3">
      <c r="B2" s="2" t="s">
        <v>38</v>
      </c>
      <c r="H2" s="2" t="s">
        <v>38</v>
      </c>
      <c r="L2" s="2" t="s">
        <v>38</v>
      </c>
      <c r="Q2" s="2" t="s">
        <v>38</v>
      </c>
      <c r="U2" s="2" t="s">
        <v>38</v>
      </c>
    </row>
    <row r="3" spans="1:22" x14ac:dyDescent="0.3">
      <c r="A3" s="2" t="s">
        <v>0</v>
      </c>
      <c r="B3" t="s">
        <v>37</v>
      </c>
      <c r="C3" t="s">
        <v>39</v>
      </c>
      <c r="D3" t="s">
        <v>40</v>
      </c>
      <c r="E3" t="s">
        <v>41</v>
      </c>
      <c r="G3" s="2" t="s">
        <v>2</v>
      </c>
      <c r="H3" t="s">
        <v>37</v>
      </c>
      <c r="I3" t="s">
        <v>39</v>
      </c>
      <c r="K3" s="2" t="s">
        <v>1</v>
      </c>
      <c r="L3" t="s">
        <v>37</v>
      </c>
      <c r="M3" t="s">
        <v>39</v>
      </c>
      <c r="N3" t="s">
        <v>41</v>
      </c>
      <c r="P3" s="2" t="s">
        <v>7</v>
      </c>
      <c r="Q3" t="s">
        <v>37</v>
      </c>
      <c r="R3" t="s">
        <v>39</v>
      </c>
      <c r="T3" s="2" t="s">
        <v>0</v>
      </c>
      <c r="U3" t="s">
        <v>47</v>
      </c>
      <c r="V3" t="s">
        <v>48</v>
      </c>
    </row>
    <row r="4" spans="1:22" x14ac:dyDescent="0.3">
      <c r="A4" t="s">
        <v>9</v>
      </c>
      <c r="B4" s="3">
        <v>487185</v>
      </c>
      <c r="C4" s="3">
        <v>331343</v>
      </c>
      <c r="D4" s="3">
        <v>155842</v>
      </c>
      <c r="E4" s="4">
        <v>1476</v>
      </c>
      <c r="G4" t="s">
        <v>24</v>
      </c>
      <c r="H4" s="3">
        <v>711342</v>
      </c>
      <c r="I4" s="3">
        <v>471858</v>
      </c>
      <c r="K4" t="s">
        <v>20</v>
      </c>
      <c r="L4" s="3">
        <v>616444</v>
      </c>
      <c r="M4" s="3">
        <v>397373</v>
      </c>
      <c r="N4" s="4">
        <v>2175</v>
      </c>
      <c r="P4" t="s">
        <v>19</v>
      </c>
      <c r="Q4" s="3">
        <v>810578</v>
      </c>
      <c r="R4" s="3">
        <v>524930</v>
      </c>
      <c r="T4" t="s">
        <v>9</v>
      </c>
      <c r="U4" s="4">
        <v>2355</v>
      </c>
      <c r="V4" s="4">
        <v>1476</v>
      </c>
    </row>
    <row r="5" spans="1:22" x14ac:dyDescent="0.3">
      <c r="A5" t="s">
        <v>26</v>
      </c>
      <c r="B5" s="3">
        <v>305050</v>
      </c>
      <c r="C5" s="3">
        <v>205593</v>
      </c>
      <c r="D5" s="3">
        <v>99457</v>
      </c>
      <c r="E5" s="4">
        <v>1063</v>
      </c>
      <c r="G5" t="s">
        <v>11</v>
      </c>
      <c r="H5" s="3">
        <v>1427831</v>
      </c>
      <c r="I5" s="3">
        <v>922822</v>
      </c>
      <c r="K5" t="s">
        <v>23</v>
      </c>
      <c r="L5" s="3">
        <v>711342</v>
      </c>
      <c r="M5" s="3">
        <v>471858</v>
      </c>
      <c r="N5" s="4">
        <v>2283</v>
      </c>
      <c r="P5" t="s">
        <v>21</v>
      </c>
      <c r="Q5" s="3">
        <v>946155</v>
      </c>
      <c r="R5" s="3">
        <v>630381</v>
      </c>
      <c r="T5" t="s">
        <v>26</v>
      </c>
      <c r="U5" s="4">
        <v>1972</v>
      </c>
      <c r="V5" s="4">
        <v>1063</v>
      </c>
    </row>
    <row r="6" spans="1:22" x14ac:dyDescent="0.3">
      <c r="A6" t="s">
        <v>27</v>
      </c>
      <c r="B6" s="3">
        <v>353305</v>
      </c>
      <c r="C6" s="3">
        <v>225311</v>
      </c>
      <c r="D6" s="3">
        <v>127994</v>
      </c>
      <c r="E6" s="4">
        <v>1151</v>
      </c>
      <c r="G6" t="s">
        <v>16</v>
      </c>
      <c r="H6" s="3">
        <v>1847552</v>
      </c>
      <c r="I6" s="3">
        <v>1200671</v>
      </c>
      <c r="K6" t="s">
        <v>17</v>
      </c>
      <c r="L6" s="3">
        <v>550117</v>
      </c>
      <c r="M6" s="3">
        <v>353877</v>
      </c>
      <c r="N6" s="4">
        <v>1913</v>
      </c>
      <c r="P6" t="s">
        <v>25</v>
      </c>
      <c r="Q6" s="3">
        <v>827381</v>
      </c>
      <c r="R6" s="3">
        <v>533669</v>
      </c>
      <c r="T6" t="s">
        <v>27</v>
      </c>
      <c r="U6" s="4">
        <v>2045</v>
      </c>
      <c r="V6" s="4">
        <v>1151</v>
      </c>
    </row>
    <row r="7" spans="1:22" x14ac:dyDescent="0.3">
      <c r="A7" t="s">
        <v>28</v>
      </c>
      <c r="B7" s="3">
        <v>339478</v>
      </c>
      <c r="C7" s="3">
        <v>223626</v>
      </c>
      <c r="D7" s="3">
        <v>115852</v>
      </c>
      <c r="E7" s="4">
        <v>1207</v>
      </c>
      <c r="G7" t="s">
        <v>18</v>
      </c>
      <c r="H7" s="3">
        <v>550117</v>
      </c>
      <c r="I7" s="3">
        <v>353877</v>
      </c>
      <c r="K7" t="s">
        <v>10</v>
      </c>
      <c r="L7" s="3">
        <v>773480</v>
      </c>
      <c r="M7" s="3">
        <v>495173</v>
      </c>
      <c r="N7" s="4">
        <v>2381</v>
      </c>
      <c r="P7" t="s">
        <v>12</v>
      </c>
      <c r="Q7" s="3">
        <v>1061711</v>
      </c>
      <c r="R7" s="3">
        <v>694714</v>
      </c>
      <c r="T7" t="s">
        <v>28</v>
      </c>
      <c r="U7" s="4">
        <v>1923</v>
      </c>
      <c r="V7" s="4">
        <v>1207</v>
      </c>
    </row>
    <row r="8" spans="1:22" x14ac:dyDescent="0.3">
      <c r="A8" t="s">
        <v>29</v>
      </c>
      <c r="B8" s="3">
        <v>429450</v>
      </c>
      <c r="C8" s="3">
        <v>275747</v>
      </c>
      <c r="D8" s="3">
        <v>153703</v>
      </c>
      <c r="E8" s="4">
        <v>1214</v>
      </c>
      <c r="G8" t="s">
        <v>42</v>
      </c>
      <c r="H8" s="3">
        <v>4536842</v>
      </c>
      <c r="I8" s="3">
        <v>2949228</v>
      </c>
      <c r="K8" t="s">
        <v>15</v>
      </c>
      <c r="L8" s="3">
        <v>533914</v>
      </c>
      <c r="M8" s="3">
        <v>347410</v>
      </c>
      <c r="N8" s="4">
        <v>1959</v>
      </c>
      <c r="P8" t="s">
        <v>14</v>
      </c>
      <c r="Q8" s="3">
        <v>891017</v>
      </c>
      <c r="R8" s="3">
        <v>565534</v>
      </c>
      <c r="T8" t="s">
        <v>29</v>
      </c>
      <c r="U8" s="4">
        <v>2236</v>
      </c>
      <c r="V8" s="4">
        <v>1214</v>
      </c>
    </row>
    <row r="9" spans="1:22" x14ac:dyDescent="0.3">
      <c r="A9" t="s">
        <v>30</v>
      </c>
      <c r="B9" s="3">
        <v>354630</v>
      </c>
      <c r="C9" s="3">
        <v>222146</v>
      </c>
      <c r="D9" s="3">
        <v>132484</v>
      </c>
      <c r="E9" s="4">
        <v>1158</v>
      </c>
      <c r="K9" t="s">
        <v>22</v>
      </c>
      <c r="L9" s="3">
        <v>697194</v>
      </c>
      <c r="M9" s="3">
        <v>455888</v>
      </c>
      <c r="N9" s="4">
        <v>2172</v>
      </c>
      <c r="P9" t="s">
        <v>42</v>
      </c>
      <c r="Q9" s="3">
        <v>4536842</v>
      </c>
      <c r="R9" s="3">
        <v>2949228</v>
      </c>
      <c r="T9" t="s">
        <v>30</v>
      </c>
      <c r="U9" s="4">
        <v>1914</v>
      </c>
      <c r="V9" s="4">
        <v>1158</v>
      </c>
    </row>
    <row r="10" spans="1:22" x14ac:dyDescent="0.3">
      <c r="A10" t="s">
        <v>31</v>
      </c>
      <c r="B10" s="3">
        <v>368925</v>
      </c>
      <c r="C10" s="3">
        <v>241964</v>
      </c>
      <c r="D10" s="3">
        <v>126961</v>
      </c>
      <c r="E10" s="4">
        <v>1153</v>
      </c>
      <c r="K10" t="s">
        <v>13</v>
      </c>
      <c r="L10" s="3">
        <v>654351</v>
      </c>
      <c r="M10" s="3">
        <v>427649</v>
      </c>
      <c r="N10" s="4">
        <v>2157</v>
      </c>
      <c r="T10" t="s">
        <v>31</v>
      </c>
      <c r="U10" s="4">
        <v>2147</v>
      </c>
      <c r="V10" s="4">
        <v>1153</v>
      </c>
    </row>
    <row r="11" spans="1:22" x14ac:dyDescent="0.3">
      <c r="A11" t="s">
        <v>32</v>
      </c>
      <c r="B11" s="3">
        <v>419823</v>
      </c>
      <c r="C11" s="3">
        <v>264463</v>
      </c>
      <c r="D11" s="3">
        <v>155360</v>
      </c>
      <c r="E11" s="4">
        <v>1298</v>
      </c>
      <c r="K11" t="s">
        <v>42</v>
      </c>
      <c r="L11" s="3">
        <v>4536842</v>
      </c>
      <c r="M11" s="3">
        <v>2949228</v>
      </c>
      <c r="N11" s="4">
        <v>15040</v>
      </c>
      <c r="T11" t="s">
        <v>32</v>
      </c>
      <c r="U11" s="4">
        <v>2158</v>
      </c>
      <c r="V11" s="4">
        <v>1298</v>
      </c>
    </row>
    <row r="12" spans="1:22" x14ac:dyDescent="0.3">
      <c r="A12" t="s">
        <v>33</v>
      </c>
      <c r="B12" s="3">
        <v>361926</v>
      </c>
      <c r="C12" s="3">
        <v>229290</v>
      </c>
      <c r="D12" s="3">
        <v>132636</v>
      </c>
      <c r="E12" s="4">
        <v>1226</v>
      </c>
      <c r="T12" t="s">
        <v>33</v>
      </c>
      <c r="U12" s="4">
        <v>2156</v>
      </c>
      <c r="V12" s="4">
        <v>1226</v>
      </c>
    </row>
    <row r="13" spans="1:22" x14ac:dyDescent="0.3">
      <c r="A13" t="s">
        <v>34</v>
      </c>
      <c r="B13" s="3">
        <v>399501</v>
      </c>
      <c r="C13" s="3">
        <v>257398</v>
      </c>
      <c r="D13" s="3">
        <v>142103</v>
      </c>
      <c r="E13" s="4">
        <v>1415</v>
      </c>
      <c r="T13" t="s">
        <v>34</v>
      </c>
      <c r="U13" s="4">
        <v>2558</v>
      </c>
      <c r="V13" s="4">
        <v>1415</v>
      </c>
    </row>
    <row r="14" spans="1:22" x14ac:dyDescent="0.3">
      <c r="A14" t="s">
        <v>35</v>
      </c>
      <c r="B14" s="3">
        <v>347825</v>
      </c>
      <c r="C14" s="3">
        <v>224671</v>
      </c>
      <c r="D14" s="3">
        <v>123154</v>
      </c>
      <c r="E14" s="4">
        <v>1201</v>
      </c>
      <c r="T14" t="s">
        <v>35</v>
      </c>
      <c r="U14" s="4">
        <v>2009</v>
      </c>
      <c r="V14" s="4">
        <v>1201</v>
      </c>
    </row>
    <row r="15" spans="1:22" x14ac:dyDescent="0.3">
      <c r="A15" t="s">
        <v>36</v>
      </c>
      <c r="B15" s="3">
        <v>369744</v>
      </c>
      <c r="C15" s="3">
        <v>247676</v>
      </c>
      <c r="D15" s="3">
        <v>122068</v>
      </c>
      <c r="E15" s="4">
        <v>1478</v>
      </c>
      <c r="T15" t="s">
        <v>36</v>
      </c>
      <c r="U15" s="4">
        <v>2361</v>
      </c>
      <c r="V15" s="4">
        <v>1478</v>
      </c>
    </row>
    <row r="16" spans="1:22" x14ac:dyDescent="0.3">
      <c r="A16" t="s">
        <v>42</v>
      </c>
      <c r="B16" s="3">
        <v>4536842</v>
      </c>
      <c r="C16" s="3">
        <v>2949228</v>
      </c>
      <c r="D16" s="3">
        <v>1587614</v>
      </c>
      <c r="E16" s="4">
        <v>15040</v>
      </c>
      <c r="T16" t="s">
        <v>42</v>
      </c>
      <c r="U16" s="4">
        <v>25834</v>
      </c>
      <c r="V16" s="4">
        <v>15040</v>
      </c>
    </row>
  </sheetData>
  <mergeCells count="5">
    <mergeCell ref="A1:E1"/>
    <mergeCell ref="G1:I1"/>
    <mergeCell ref="K1:N1"/>
    <mergeCell ref="P1:R1"/>
    <mergeCell ref="T1:V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613B0-D4FB-4044-9EFE-697CFFDA5FE3}">
  <sheetPr codeName="Sheet15">
    <tabColor rgb="FF1F497D"/>
  </sheetPr>
  <dimension ref="A1:Z35"/>
  <sheetViews>
    <sheetView tabSelected="1" workbookViewId="0">
      <selection activeCell="C8" sqref="C8"/>
    </sheetView>
  </sheetViews>
  <sheetFormatPr defaultRowHeight="14.4" x14ac:dyDescent="0.3"/>
  <cols>
    <col min="1" max="30" width="8" style="6" customWidth="1"/>
    <col min="31" max="16384" width="8.88671875" style="6"/>
  </cols>
  <sheetData>
    <row r="1" spans="1:26" ht="54" customHeight="1" x14ac:dyDescent="0.3">
      <c r="A1" s="7" t="s">
        <v>50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9"/>
    </row>
    <row r="2" spans="1:26" ht="7.95" customHeight="1" x14ac:dyDescent="0.3">
      <c r="A2" s="10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2"/>
    </row>
    <row r="3" spans="1:26" ht="25.95" customHeight="1" x14ac:dyDescent="0.3">
      <c r="A3" s="10"/>
      <c r="B3" s="16" t="s">
        <v>51</v>
      </c>
      <c r="C3" s="17"/>
      <c r="D3" s="17"/>
      <c r="E3" s="18"/>
      <c r="F3" s="11"/>
      <c r="G3" s="22" t="s">
        <v>52</v>
      </c>
      <c r="H3" s="23"/>
      <c r="I3" s="23"/>
      <c r="J3" s="24"/>
      <c r="K3" s="11"/>
      <c r="L3" s="28" t="s">
        <v>53</v>
      </c>
      <c r="M3" s="29"/>
      <c r="N3" s="29"/>
      <c r="O3" s="30"/>
      <c r="P3" s="11"/>
      <c r="Q3" s="34" t="s">
        <v>54</v>
      </c>
      <c r="R3" s="35"/>
      <c r="S3" s="35"/>
      <c r="T3" s="36"/>
      <c r="U3" s="11"/>
      <c r="V3" s="40" t="s">
        <v>55</v>
      </c>
      <c r="W3" s="41"/>
      <c r="X3" s="41"/>
      <c r="Y3" s="42"/>
      <c r="Z3" s="12"/>
    </row>
    <row r="4" spans="1:26" ht="34.049999999999997" customHeight="1" x14ac:dyDescent="0.3">
      <c r="A4" s="10"/>
      <c r="B4" s="19">
        <f>IFERROR(GETPIVOTDATA("Total Revenue",Pivot!$A$2),0)</f>
        <v>4536842</v>
      </c>
      <c r="C4" s="20"/>
      <c r="D4" s="20"/>
      <c r="E4" s="21"/>
      <c r="F4" s="11"/>
      <c r="G4" s="25">
        <f>IFERROR(GETPIVOTDATA("Total Profit",Pivot!$A$2),0)</f>
        <v>2949228</v>
      </c>
      <c r="H4" s="26"/>
      <c r="I4" s="26"/>
      <c r="J4" s="27"/>
      <c r="K4" s="11"/>
      <c r="L4" s="31">
        <f>IFERROR(GETPIVOTDATA("UnitsSold",Pivot!$A$2),0)</f>
        <v>15040</v>
      </c>
      <c r="M4" s="32"/>
      <c r="N4" s="32"/>
      <c r="O4" s="33"/>
      <c r="P4" s="11"/>
      <c r="Q4" s="37">
        <f>IFERROR(GETPIVOTDATA("Total Expenses",Pivot!$A$2),0)</f>
        <v>1587614</v>
      </c>
      <c r="R4" s="38"/>
      <c r="S4" s="38"/>
      <c r="T4" s="39"/>
      <c r="U4" s="11"/>
      <c r="V4" s="43">
        <f>IFERROR(IFERROR(GETPIVOTDATA("Total Profit",Pivot!$A$2),0)/IFERROR(GETPIVOTDATA("Total Revenue",Pivot!$A$2),1),0)</f>
        <v>0.6500618712311339</v>
      </c>
      <c r="W4" s="44"/>
      <c r="X4" s="44"/>
      <c r="Y4" s="45"/>
      <c r="Z4" s="12"/>
    </row>
    <row r="5" spans="1:26" ht="7.95" customHeight="1" x14ac:dyDescent="0.3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2"/>
    </row>
    <row r="6" spans="1:26" ht="13.95" customHeight="1" x14ac:dyDescent="0.3">
      <c r="A6" s="10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2"/>
    </row>
    <row r="7" spans="1:26" ht="13.95" customHeight="1" x14ac:dyDescent="0.3">
      <c r="A7" s="10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2"/>
    </row>
    <row r="8" spans="1:26" ht="13.95" customHeight="1" x14ac:dyDescent="0.3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2"/>
    </row>
    <row r="9" spans="1:26" ht="13.95" customHeight="1" x14ac:dyDescent="0.3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ht="13.95" customHeight="1" x14ac:dyDescent="0.3">
      <c r="A10" s="10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ht="13.95" customHeight="1" x14ac:dyDescent="0.3">
      <c r="A11" s="10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ht="13.95" customHeight="1" x14ac:dyDescent="0.3">
      <c r="A12" s="10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ht="13.95" customHeight="1" x14ac:dyDescent="0.3">
      <c r="A13" s="10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ht="13.95" customHeight="1" x14ac:dyDescent="0.3">
      <c r="A14" s="10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ht="13.95" customHeight="1" x14ac:dyDescent="0.3">
      <c r="A15" s="10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ht="13.95" customHeight="1" x14ac:dyDescent="0.3">
      <c r="A16" s="10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ht="13.95" customHeight="1" x14ac:dyDescent="0.3">
      <c r="A17" s="10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ht="13.95" customHeight="1" x14ac:dyDescent="0.3">
      <c r="A18" s="10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ht="13.95" customHeight="1" x14ac:dyDescent="0.3">
      <c r="A19" s="10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ht="13.95" customHeight="1" x14ac:dyDescent="0.3">
      <c r="A20" s="10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ht="13.95" customHeight="1" x14ac:dyDescent="0.3">
      <c r="A21" s="10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ht="13.95" customHeight="1" x14ac:dyDescent="0.3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ht="13.95" customHeight="1" x14ac:dyDescent="0.3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ht="13.95" customHeight="1" x14ac:dyDescent="0.3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ht="13.95" customHeight="1" x14ac:dyDescent="0.3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ht="13.95" customHeight="1" x14ac:dyDescent="0.3">
      <c r="A26" s="10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ht="13.95" customHeight="1" x14ac:dyDescent="0.3">
      <c r="A27" s="10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ht="13.95" customHeight="1" x14ac:dyDescent="0.3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ht="13.95" customHeight="1" x14ac:dyDescent="0.3">
      <c r="A29" s="1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ht="13.95" customHeight="1" x14ac:dyDescent="0.3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ht="13.95" customHeight="1" x14ac:dyDescent="0.3">
      <c r="A31" s="10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ht="13.95" customHeight="1" x14ac:dyDescent="0.3">
      <c r="A32" s="10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ht="13.95" customHeight="1" x14ac:dyDescent="0.3">
      <c r="A33" s="10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ht="13.95" customHeight="1" x14ac:dyDescent="0.3">
      <c r="A34" s="10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3.95" customHeight="1" x14ac:dyDescent="0.3">
      <c r="A35" s="13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5"/>
    </row>
  </sheetData>
  <mergeCells count="11">
    <mergeCell ref="V4:Y4"/>
    <mergeCell ref="A1:Z1"/>
    <mergeCell ref="B3:E3"/>
    <mergeCell ref="B4:E4"/>
    <mergeCell ref="G3:J3"/>
    <mergeCell ref="G4:J4"/>
    <mergeCell ref="L3:O3"/>
    <mergeCell ref="L4:O4"/>
    <mergeCell ref="Q3:T3"/>
    <mergeCell ref="Q4:T4"/>
    <mergeCell ref="V3:Y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Pivot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2015-06-05T18:17:20Z</dcterms:created>
  <dcterms:modified xsi:type="dcterms:W3CDTF">2026-10-14T07:18:51Z</dcterms:modified>
</cp:coreProperties>
</file>